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_xlnm._FilterDatabase" localSheetId="0" hidden="1">Sheet1!$K$1:$K$1000</definedName>
    <definedName name="_xlnm.Print_Area" localSheetId="0">Sheet1!$1:$1</definedName>
  </definedNames>
  <calcPr calcId="144525"/>
</workbook>
</file>

<file path=xl/calcChain.xml><?xml version="1.0" encoding="utf-8"?>
<calcChain xmlns="http://schemas.openxmlformats.org/spreadsheetml/2006/main">
  <c r="L999" i="1" l="1"/>
  <c r="L998" i="1"/>
  <c r="L990" i="1"/>
  <c r="L988" i="1"/>
  <c r="L987" i="1"/>
  <c r="L986" i="1"/>
  <c r="L985" i="1"/>
  <c r="L983" i="1"/>
  <c r="L980" i="1"/>
  <c r="L979" i="1"/>
  <c r="L978" i="1"/>
  <c r="L977" i="1"/>
  <c r="L976" i="1"/>
  <c r="L975" i="1"/>
  <c r="L971" i="1"/>
  <c r="L969" i="1"/>
  <c r="L968" i="1"/>
  <c r="L965" i="1"/>
  <c r="L964" i="1"/>
  <c r="L961" i="1"/>
  <c r="L960" i="1"/>
  <c r="L958" i="1"/>
  <c r="L957" i="1"/>
  <c r="L955" i="1"/>
  <c r="L952" i="1"/>
  <c r="L950" i="1"/>
  <c r="L949" i="1"/>
  <c r="L947" i="1"/>
  <c r="L946" i="1"/>
  <c r="L945" i="1"/>
  <c r="L942" i="1"/>
  <c r="L941" i="1"/>
  <c r="L940" i="1"/>
  <c r="L939" i="1"/>
  <c r="L938" i="1"/>
  <c r="L937" i="1"/>
  <c r="L933" i="1"/>
  <c r="L932" i="1"/>
  <c r="L930" i="1"/>
  <c r="L928" i="1"/>
  <c r="L925" i="1"/>
  <c r="L924" i="1"/>
  <c r="L923" i="1"/>
  <c r="L921" i="1"/>
  <c r="L916" i="1"/>
  <c r="L913" i="1"/>
  <c r="L911" i="1"/>
  <c r="L909" i="1"/>
  <c r="L908" i="1"/>
  <c r="L906" i="1"/>
  <c r="L905" i="1"/>
  <c r="L904" i="1"/>
  <c r="L900" i="1"/>
  <c r="L897" i="1"/>
  <c r="L896" i="1"/>
  <c r="L894" i="1"/>
  <c r="L893" i="1"/>
  <c r="L892" i="1"/>
  <c r="L890" i="1"/>
  <c r="L889" i="1"/>
  <c r="L888" i="1"/>
  <c r="L885" i="1"/>
  <c r="L883" i="1"/>
  <c r="L881" i="1"/>
  <c r="L879" i="1"/>
  <c r="L878" i="1"/>
  <c r="L875" i="1"/>
  <c r="L874" i="1"/>
  <c r="L873" i="1"/>
  <c r="L872" i="1"/>
  <c r="L871" i="1"/>
  <c r="L870" i="1"/>
  <c r="L866" i="1"/>
  <c r="L864" i="1"/>
  <c r="L863" i="1"/>
  <c r="L860" i="1"/>
  <c r="L859" i="1"/>
  <c r="L855" i="1"/>
  <c r="L854" i="1"/>
  <c r="L846" i="1"/>
  <c r="L844" i="1"/>
  <c r="L843" i="1"/>
  <c r="L842" i="1"/>
  <c r="L841" i="1"/>
  <c r="L839" i="1"/>
  <c r="L838" i="1"/>
  <c r="L837" i="1"/>
  <c r="L836" i="1"/>
  <c r="L835" i="1"/>
  <c r="L833" i="1"/>
  <c r="L832" i="1"/>
  <c r="L831" i="1"/>
  <c r="L830" i="1"/>
  <c r="L827" i="1"/>
  <c r="L826" i="1"/>
  <c r="L825" i="1"/>
  <c r="L823" i="1"/>
  <c r="L819" i="1"/>
  <c r="L818" i="1"/>
  <c r="L817" i="1"/>
  <c r="L816" i="1"/>
  <c r="L813" i="1"/>
  <c r="L807" i="1"/>
  <c r="L805" i="1"/>
  <c r="L803" i="1"/>
  <c r="L802" i="1"/>
  <c r="L800" i="1"/>
  <c r="L799" i="1"/>
  <c r="L798" i="1"/>
  <c r="L797" i="1"/>
  <c r="L796" i="1"/>
  <c r="L795" i="1"/>
  <c r="L793" i="1"/>
  <c r="L792" i="1"/>
  <c r="L790" i="1"/>
  <c r="L789" i="1"/>
  <c r="L786" i="1"/>
  <c r="L784" i="1"/>
  <c r="L783" i="1"/>
  <c r="L782" i="1"/>
  <c r="L781" i="1"/>
  <c r="L780" i="1"/>
  <c r="L779" i="1"/>
  <c r="L778" i="1"/>
  <c r="L777" i="1"/>
  <c r="L776" i="1"/>
  <c r="L775" i="1"/>
  <c r="L767" i="1"/>
  <c r="L766" i="1"/>
  <c r="L765" i="1"/>
  <c r="L764" i="1"/>
  <c r="L763" i="1"/>
  <c r="L762" i="1"/>
  <c r="L761" i="1"/>
  <c r="L760" i="1"/>
  <c r="L758" i="1"/>
  <c r="L757" i="1"/>
  <c r="L756" i="1"/>
  <c r="L755" i="1"/>
  <c r="L754" i="1"/>
  <c r="L753" i="1"/>
  <c r="L752" i="1"/>
  <c r="L750" i="1"/>
  <c r="L749" i="1"/>
  <c r="L747" i="1"/>
  <c r="L746" i="1"/>
  <c r="L745" i="1"/>
  <c r="L744" i="1"/>
  <c r="L736" i="1"/>
  <c r="L735" i="1"/>
  <c r="L734" i="1"/>
  <c r="L733" i="1"/>
  <c r="L731" i="1"/>
  <c r="L730" i="1"/>
  <c r="L729" i="1"/>
  <c r="L727" i="1"/>
  <c r="L724" i="1"/>
  <c r="L723" i="1"/>
  <c r="L720" i="1"/>
  <c r="L719" i="1"/>
  <c r="L716" i="1"/>
  <c r="L714" i="1"/>
  <c r="L713" i="1"/>
  <c r="L712" i="1"/>
  <c r="L711" i="1"/>
  <c r="L709" i="1"/>
  <c r="L708" i="1"/>
  <c r="L707" i="1"/>
  <c r="L706" i="1"/>
  <c r="L698" i="1"/>
  <c r="L697" i="1"/>
  <c r="L696" i="1"/>
  <c r="L695" i="1"/>
  <c r="L693" i="1"/>
  <c r="L692" i="1"/>
  <c r="L691" i="1"/>
  <c r="L689" i="1"/>
  <c r="L688" i="1"/>
  <c r="L686" i="1"/>
  <c r="L684" i="1"/>
  <c r="L682" i="1"/>
  <c r="L679" i="1"/>
  <c r="L678" i="1"/>
  <c r="L677" i="1"/>
  <c r="L675" i="1"/>
  <c r="L673" i="1"/>
  <c r="L666" i="1"/>
  <c r="L663" i="1"/>
  <c r="L662" i="1"/>
  <c r="L660" i="1"/>
  <c r="L658" i="1"/>
  <c r="L657" i="1"/>
  <c r="L656" i="1"/>
  <c r="L655" i="1"/>
  <c r="L653" i="1"/>
  <c r="L652" i="1"/>
  <c r="L651" i="1"/>
  <c r="L650" i="1"/>
  <c r="L649" i="1"/>
  <c r="L647" i="1"/>
  <c r="L646" i="1"/>
  <c r="L645" i="1"/>
  <c r="L641" i="1"/>
  <c r="L640" i="1"/>
  <c r="L638" i="1"/>
  <c r="L636" i="1"/>
  <c r="L635" i="1"/>
  <c r="L633" i="1"/>
  <c r="L631" i="1"/>
  <c r="L630" i="1"/>
  <c r="L629" i="1"/>
  <c r="L628" i="1"/>
  <c r="L627" i="1"/>
  <c r="L626" i="1"/>
  <c r="L625" i="1"/>
  <c r="L622" i="1"/>
  <c r="L621" i="1"/>
  <c r="L620" i="1"/>
  <c r="L618" i="1"/>
  <c r="L617" i="1"/>
  <c r="L614" i="1"/>
  <c r="L612" i="1"/>
  <c r="L608" i="1"/>
  <c r="L605" i="1"/>
  <c r="L603" i="1"/>
  <c r="L602" i="1"/>
  <c r="L601" i="1"/>
  <c r="L600" i="1"/>
  <c r="L599" i="1"/>
  <c r="L598" i="1"/>
  <c r="L597" i="1"/>
  <c r="L596" i="1"/>
  <c r="L594" i="1"/>
  <c r="L590" i="1"/>
  <c r="L589" i="1"/>
  <c r="L587" i="1"/>
  <c r="L586" i="1"/>
  <c r="L584" i="1"/>
  <c r="L583" i="1"/>
  <c r="L581" i="1"/>
  <c r="L579" i="1"/>
  <c r="L577" i="1"/>
  <c r="L575" i="1"/>
  <c r="L574" i="1"/>
  <c r="L571" i="1"/>
  <c r="L570" i="1"/>
  <c r="L567" i="1"/>
  <c r="L565" i="1"/>
  <c r="L564" i="1"/>
  <c r="L563" i="1"/>
  <c r="L562" i="1"/>
  <c r="L560" i="1"/>
  <c r="L559" i="1"/>
  <c r="L558" i="1"/>
  <c r="L557" i="1"/>
  <c r="L552" i="1"/>
  <c r="L550" i="1"/>
  <c r="L549" i="1"/>
  <c r="L547" i="1"/>
  <c r="L546" i="1"/>
  <c r="L545" i="1"/>
  <c r="L544" i="1"/>
  <c r="L539" i="1"/>
  <c r="L538" i="1"/>
  <c r="L536" i="1"/>
  <c r="L533" i="1"/>
  <c r="L532" i="1"/>
  <c r="L531" i="1"/>
  <c r="L530" i="1"/>
  <c r="L529" i="1"/>
  <c r="L528" i="1"/>
  <c r="L527" i="1"/>
  <c r="L526" i="1"/>
  <c r="L524" i="1"/>
  <c r="L523" i="1"/>
  <c r="L519" i="1"/>
  <c r="L517" i="1"/>
  <c r="L512" i="1"/>
  <c r="L503" i="1"/>
  <c r="L501" i="1"/>
  <c r="L499" i="1"/>
  <c r="L498" i="1"/>
  <c r="L494" i="1"/>
  <c r="L492" i="1"/>
  <c r="L490" i="1"/>
  <c r="L489" i="1"/>
  <c r="L487" i="1"/>
  <c r="L485" i="1"/>
  <c r="L482" i="1"/>
  <c r="L481" i="1"/>
  <c r="L479" i="1"/>
  <c r="L478" i="1"/>
  <c r="L477" i="1"/>
  <c r="L476" i="1"/>
  <c r="L475" i="1"/>
  <c r="L473" i="1"/>
  <c r="L472" i="1"/>
  <c r="L468" i="1"/>
  <c r="L466" i="1"/>
  <c r="L464" i="1"/>
  <c r="L463" i="1"/>
  <c r="L462" i="1"/>
  <c r="L461" i="1"/>
  <c r="L460" i="1"/>
  <c r="L459" i="1"/>
  <c r="L458" i="1"/>
  <c r="L456" i="1"/>
  <c r="L455" i="1"/>
  <c r="L453" i="1"/>
  <c r="L452" i="1"/>
  <c r="L451" i="1"/>
  <c r="L450" i="1"/>
  <c r="L448" i="1"/>
  <c r="L447" i="1"/>
  <c r="L446" i="1"/>
  <c r="L445" i="1"/>
  <c r="L444" i="1"/>
  <c r="L443" i="1"/>
  <c r="L442" i="1"/>
  <c r="L440" i="1"/>
  <c r="L439" i="1"/>
  <c r="L438" i="1"/>
  <c r="L437" i="1"/>
  <c r="L436" i="1"/>
  <c r="L435" i="1"/>
  <c r="L433" i="1"/>
  <c r="L428" i="1"/>
  <c r="L425" i="1"/>
  <c r="L424" i="1"/>
  <c r="L423" i="1"/>
  <c r="L422" i="1"/>
  <c r="L421" i="1"/>
  <c r="L420" i="1"/>
  <c r="L418" i="1"/>
  <c r="L416" i="1"/>
  <c r="L415" i="1"/>
  <c r="L413" i="1"/>
  <c r="L412" i="1"/>
  <c r="L409" i="1"/>
  <c r="L406" i="1"/>
  <c r="L405" i="1"/>
  <c r="L404" i="1"/>
  <c r="L403" i="1"/>
  <c r="L402" i="1"/>
  <c r="L401" i="1"/>
  <c r="L400" i="1"/>
  <c r="L398" i="1"/>
  <c r="L397" i="1"/>
  <c r="L394" i="1"/>
  <c r="L393" i="1"/>
  <c r="L391" i="1"/>
  <c r="L390" i="1"/>
  <c r="L389" i="1"/>
  <c r="L388" i="1"/>
  <c r="L387" i="1"/>
  <c r="L383" i="1"/>
  <c r="L381" i="1"/>
  <c r="L379" i="1"/>
  <c r="L377" i="1"/>
  <c r="L375" i="1"/>
  <c r="L374" i="1"/>
  <c r="L369" i="1"/>
  <c r="L367" i="1"/>
  <c r="L366" i="1"/>
  <c r="L364" i="1"/>
  <c r="L362" i="1"/>
  <c r="L361" i="1"/>
  <c r="L360" i="1"/>
  <c r="L358" i="1"/>
  <c r="L355" i="1"/>
  <c r="L354" i="1"/>
  <c r="L352" i="1"/>
  <c r="L351" i="1"/>
  <c r="L350" i="1"/>
  <c r="L349" i="1"/>
  <c r="L347" i="1"/>
  <c r="L345" i="1"/>
  <c r="L342" i="1"/>
  <c r="L341" i="1"/>
  <c r="L339" i="1"/>
  <c r="L337" i="1"/>
  <c r="L336" i="1"/>
  <c r="L335" i="1"/>
  <c r="L334" i="1"/>
  <c r="L332" i="1"/>
  <c r="L331" i="1"/>
  <c r="L330" i="1"/>
  <c r="L328" i="1"/>
  <c r="L327" i="1"/>
  <c r="L326" i="1"/>
  <c r="L325" i="1"/>
  <c r="L323" i="1"/>
  <c r="L322" i="1"/>
  <c r="L320" i="1"/>
  <c r="L319" i="1"/>
  <c r="L316" i="1"/>
  <c r="L314" i="1"/>
  <c r="L313" i="1"/>
  <c r="L312" i="1"/>
  <c r="L311" i="1"/>
  <c r="L310" i="1"/>
  <c r="L309" i="1"/>
  <c r="L306" i="1"/>
  <c r="L305" i="1"/>
  <c r="L302" i="1"/>
  <c r="L301" i="1"/>
  <c r="L298" i="1"/>
  <c r="L297" i="1"/>
  <c r="L296" i="1"/>
  <c r="L295" i="1"/>
  <c r="L293" i="1"/>
  <c r="L292" i="1"/>
  <c r="L290" i="1"/>
  <c r="L289" i="1"/>
  <c r="L288" i="1"/>
  <c r="L287" i="1"/>
  <c r="L286" i="1"/>
  <c r="L285" i="1"/>
  <c r="L284" i="1"/>
  <c r="L282" i="1"/>
  <c r="L280" i="1"/>
  <c r="L279" i="1"/>
  <c r="L278" i="1"/>
  <c r="L276" i="1"/>
  <c r="L275" i="1"/>
  <c r="L271" i="1"/>
  <c r="L269" i="1"/>
  <c r="L266" i="1"/>
  <c r="L265" i="1"/>
  <c r="L262" i="1"/>
  <c r="L260" i="1"/>
  <c r="L255" i="1"/>
  <c r="L254" i="1"/>
  <c r="L253" i="1"/>
  <c r="L252" i="1"/>
  <c r="L251" i="1"/>
  <c r="L250" i="1"/>
  <c r="L249" i="1"/>
  <c r="L248" i="1"/>
  <c r="L247" i="1"/>
  <c r="L245" i="1"/>
  <c r="L241" i="1"/>
  <c r="L240" i="1"/>
  <c r="L238" i="1"/>
  <c r="L237" i="1"/>
  <c r="L234" i="1"/>
  <c r="L231" i="1"/>
  <c r="L229" i="1"/>
  <c r="L226" i="1"/>
  <c r="L225" i="1"/>
  <c r="L223" i="1"/>
  <c r="L220" i="1"/>
  <c r="L218" i="1"/>
  <c r="L217" i="1"/>
  <c r="L215" i="1"/>
  <c r="L213" i="1"/>
  <c r="L211" i="1"/>
  <c r="L210" i="1"/>
  <c r="L209" i="1"/>
  <c r="L208" i="1"/>
  <c r="L206" i="1"/>
  <c r="L205" i="1"/>
  <c r="L204" i="1"/>
  <c r="L203" i="1"/>
  <c r="L202" i="1"/>
  <c r="L201" i="1"/>
  <c r="L200" i="1"/>
  <c r="L198" i="1"/>
  <c r="L197" i="1"/>
  <c r="L195" i="1"/>
  <c r="L193" i="1"/>
  <c r="L191" i="1"/>
  <c r="L190" i="1"/>
  <c r="L189" i="1"/>
  <c r="L187" i="1"/>
  <c r="L186" i="1"/>
  <c r="L184" i="1"/>
  <c r="L183" i="1"/>
  <c r="L182" i="1"/>
  <c r="L180" i="1"/>
  <c r="L178" i="1"/>
  <c r="L177" i="1"/>
  <c r="L175" i="1"/>
  <c r="L174" i="1"/>
  <c r="L173" i="1"/>
  <c r="L172" i="1"/>
  <c r="L169" i="1"/>
  <c r="L167" i="1"/>
  <c r="L166" i="1"/>
  <c r="L165" i="1"/>
  <c r="L163" i="1"/>
  <c r="L161" i="1"/>
  <c r="L160" i="1"/>
  <c r="L159" i="1"/>
  <c r="L157" i="1"/>
  <c r="L156" i="1"/>
  <c r="L155" i="1"/>
  <c r="L153" i="1"/>
  <c r="L152" i="1"/>
  <c r="L151" i="1"/>
  <c r="L146" i="1"/>
  <c r="L144" i="1"/>
  <c r="L143" i="1"/>
  <c r="L141" i="1"/>
  <c r="L139" i="1"/>
  <c r="L136" i="1"/>
  <c r="L133" i="1"/>
  <c r="L131" i="1"/>
  <c r="L129" i="1"/>
  <c r="L128" i="1"/>
  <c r="L125" i="1"/>
  <c r="L124" i="1"/>
  <c r="L123" i="1"/>
  <c r="L122" i="1"/>
  <c r="L121" i="1"/>
  <c r="L120" i="1"/>
  <c r="L119" i="1"/>
  <c r="L118" i="1"/>
  <c r="L116" i="1"/>
  <c r="L115" i="1"/>
  <c r="L114" i="1"/>
  <c r="L113" i="1"/>
  <c r="L112" i="1"/>
  <c r="L110" i="1"/>
  <c r="L109" i="1"/>
  <c r="L106" i="1"/>
  <c r="L105" i="1"/>
  <c r="L104" i="1"/>
  <c r="L102" i="1"/>
  <c r="L98" i="1"/>
  <c r="L97" i="1"/>
  <c r="L95" i="1"/>
  <c r="L94" i="1"/>
  <c r="L92" i="1"/>
  <c r="L91" i="1"/>
  <c r="L89" i="1"/>
  <c r="L87" i="1"/>
  <c r="L85" i="1"/>
  <c r="L83" i="1"/>
  <c r="L82" i="1"/>
  <c r="L81" i="1"/>
  <c r="L80" i="1"/>
  <c r="L77" i="1"/>
  <c r="L76" i="1"/>
  <c r="L75" i="1"/>
  <c r="L74" i="1"/>
  <c r="L72" i="1"/>
  <c r="L70" i="1"/>
  <c r="L68" i="1"/>
  <c r="L67" i="1"/>
  <c r="L66" i="1"/>
  <c r="L65" i="1"/>
  <c r="L64" i="1"/>
  <c r="L63" i="1"/>
  <c r="L62" i="1"/>
  <c r="L61" i="1"/>
  <c r="L60" i="1"/>
  <c r="L59" i="1"/>
  <c r="L57" i="1"/>
  <c r="L54" i="1"/>
  <c r="L52" i="1"/>
  <c r="L50" i="1"/>
  <c r="L49" i="1"/>
  <c r="L47" i="1"/>
  <c r="L45" i="1"/>
  <c r="L42" i="1"/>
  <c r="L41" i="1"/>
  <c r="L40" i="1"/>
  <c r="L39" i="1"/>
  <c r="L38" i="1"/>
  <c r="L37" i="1"/>
  <c r="L36" i="1"/>
  <c r="L34" i="1"/>
  <c r="L30" i="1"/>
  <c r="L29" i="1"/>
  <c r="L28" i="1"/>
  <c r="L25" i="1"/>
  <c r="L24" i="1"/>
  <c r="L22" i="1"/>
  <c r="L21" i="1"/>
  <c r="L20" i="1"/>
  <c r="L19" i="1"/>
  <c r="L18" i="1"/>
  <c r="L17" i="1"/>
  <c r="L15" i="1"/>
  <c r="L14" i="1"/>
  <c r="L13" i="1"/>
  <c r="L12" i="1"/>
  <c r="L11" i="1"/>
  <c r="L10" i="1"/>
  <c r="L9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<sst xmlns="http://schemas.openxmlformats.org/spreadsheetml/2006/main" count="4138" uniqueCount="984">
  <si>
    <t>70/30</t>
  </si>
  <si>
    <t>bashira be be</t>
  </si>
  <si>
    <t>rasheed ahmad</t>
  </si>
  <si>
    <t>140/70</t>
  </si>
  <si>
    <t>17/12/2022</t>
  </si>
  <si>
    <t>?</t>
  </si>
  <si>
    <t>90/60</t>
  </si>
  <si>
    <t>Allah ditta</t>
  </si>
  <si>
    <t>gulam abbas</t>
  </si>
  <si>
    <t>173/101</t>
  </si>
  <si>
    <t>nahal khan</t>
  </si>
  <si>
    <t>75/40</t>
  </si>
  <si>
    <t>15/12/2022</t>
  </si>
  <si>
    <t>M AFZAL</t>
  </si>
  <si>
    <t>180/70</t>
  </si>
  <si>
    <t>JAVEED</t>
  </si>
  <si>
    <t>103/71</t>
  </si>
  <si>
    <t>SHAHZEY</t>
  </si>
  <si>
    <t>200/110</t>
  </si>
  <si>
    <t>20/12/2022</t>
  </si>
  <si>
    <t>ISHZAT</t>
  </si>
  <si>
    <t>97/57</t>
  </si>
  <si>
    <t>18/12/2022</t>
  </si>
  <si>
    <t>TASLEEM BIBI</t>
  </si>
  <si>
    <t>AHSAN</t>
  </si>
  <si>
    <t>140/80</t>
  </si>
  <si>
    <t>IRUM BIBI</t>
  </si>
  <si>
    <t>110/71</t>
  </si>
  <si>
    <t>60/30</t>
  </si>
  <si>
    <t>M ALI</t>
  </si>
  <si>
    <t>GULAM MUSTAFA</t>
  </si>
  <si>
    <t>60/0</t>
  </si>
  <si>
    <t>RASHIDA BIBI</t>
  </si>
  <si>
    <t>14/12/2022</t>
  </si>
  <si>
    <t>92/79</t>
  </si>
  <si>
    <t>M NAWAZ</t>
  </si>
  <si>
    <t>dark barone</t>
  </si>
  <si>
    <t>16/12/2022</t>
  </si>
  <si>
    <t>CNIC</t>
  </si>
  <si>
    <t>YASEEM</t>
  </si>
  <si>
    <t>80/30</t>
  </si>
  <si>
    <t>BIADETES</t>
  </si>
  <si>
    <t xml:space="preserve">SAHIB </t>
  </si>
  <si>
    <t>70/40</t>
  </si>
  <si>
    <t>M NOOR</t>
  </si>
  <si>
    <t>31202-933864-3</t>
  </si>
  <si>
    <t>BILAL</t>
  </si>
  <si>
    <t>130/80</t>
  </si>
  <si>
    <t>NASEEM</t>
  </si>
  <si>
    <t>80/60</t>
  </si>
  <si>
    <t>BILQEES BB</t>
  </si>
  <si>
    <t>RIZANA</t>
  </si>
  <si>
    <t>31205-1590535-2</t>
  </si>
  <si>
    <t>100/60</t>
  </si>
  <si>
    <t>NASEEN</t>
  </si>
  <si>
    <t>SAJJAD</t>
  </si>
  <si>
    <t>120/60</t>
  </si>
  <si>
    <t>99/60</t>
  </si>
  <si>
    <t>SARDAR BB</t>
  </si>
  <si>
    <t>13/12/2022</t>
  </si>
  <si>
    <t>MANZOR AHMAD</t>
  </si>
  <si>
    <t>31205-6120533-1</t>
  </si>
  <si>
    <t>80/50</t>
  </si>
  <si>
    <t>FAKHAR</t>
  </si>
  <si>
    <t>SARAJ AHMAD</t>
  </si>
  <si>
    <t>36203-3003551-9</t>
  </si>
  <si>
    <t>152/97</t>
  </si>
  <si>
    <t>UMAR BB</t>
  </si>
  <si>
    <t>90/40</t>
  </si>
  <si>
    <t xml:space="preserve">MAFIA </t>
  </si>
  <si>
    <t>fatty liver</t>
  </si>
  <si>
    <t>heart fail</t>
  </si>
  <si>
    <t>36202-0931456-9</t>
  </si>
  <si>
    <t>HAJRA BB</t>
  </si>
  <si>
    <t>80/40</t>
  </si>
  <si>
    <t>BRAIN DAMEGA</t>
  </si>
  <si>
    <t>RASHEED</t>
  </si>
  <si>
    <t>110/60</t>
  </si>
  <si>
    <t>M MUSHTAAQ</t>
  </si>
  <si>
    <t>120/80</t>
  </si>
  <si>
    <t>31202-5055922-5</t>
  </si>
  <si>
    <t>SHU-RUBA</t>
  </si>
  <si>
    <t>36203-1587823-2</t>
  </si>
  <si>
    <t>163/110</t>
  </si>
  <si>
    <t>ALI</t>
  </si>
  <si>
    <t>31202-5254992-1</t>
  </si>
  <si>
    <t>CHEST PAIN</t>
  </si>
  <si>
    <t>M JAMEEL</t>
  </si>
  <si>
    <t>31302-16588277-3</t>
  </si>
  <si>
    <t>150/80</t>
  </si>
  <si>
    <t>NAZEER AHMAD</t>
  </si>
  <si>
    <t>SONIA</t>
  </si>
  <si>
    <t>60/40</t>
  </si>
  <si>
    <t>SONIYA</t>
  </si>
  <si>
    <t>130/90</t>
  </si>
  <si>
    <t>HAJI SUHRA</t>
  </si>
  <si>
    <t>110/70</t>
  </si>
  <si>
    <t>M AMEER</t>
  </si>
  <si>
    <t>138/89</t>
  </si>
  <si>
    <t>ALLAH BAKSH</t>
  </si>
  <si>
    <t>60/20</t>
  </si>
  <si>
    <t>SAQLAIN</t>
  </si>
  <si>
    <t>M SHALI</t>
  </si>
  <si>
    <t>31202-5734647-5</t>
  </si>
  <si>
    <t>M AKRAM</t>
  </si>
  <si>
    <t>SHARSH BANO</t>
  </si>
  <si>
    <t>31202-0209394-8</t>
  </si>
  <si>
    <t>40/10</t>
  </si>
  <si>
    <t>MUKTIYAR MAHI</t>
  </si>
  <si>
    <t>31202-6640683-9</t>
  </si>
  <si>
    <t>110/80</t>
  </si>
  <si>
    <t>148/108</t>
  </si>
  <si>
    <t>18/2/2022</t>
  </si>
  <si>
    <t>SOBIA</t>
  </si>
  <si>
    <t>HEAD INJURY</t>
  </si>
  <si>
    <t>70/30/</t>
  </si>
  <si>
    <t>SUFIAN</t>
  </si>
  <si>
    <t>ABDUL GAFFOR</t>
  </si>
  <si>
    <t>RAHMAT</t>
  </si>
  <si>
    <t>170/90</t>
  </si>
  <si>
    <t>160/100</t>
  </si>
  <si>
    <t>ASLAM</t>
  </si>
  <si>
    <t>NAZEERAN PRI PRI</t>
  </si>
  <si>
    <t>83/44</t>
  </si>
  <si>
    <t>160/80</t>
  </si>
  <si>
    <t>20/2/2021</t>
  </si>
  <si>
    <t>19/2/2021</t>
  </si>
  <si>
    <t>SHAMIM BB</t>
  </si>
  <si>
    <t>21/2/2021</t>
  </si>
  <si>
    <t>ZIA UD DINE</t>
  </si>
  <si>
    <t>140/100</t>
  </si>
  <si>
    <t>22/2/2021</t>
  </si>
  <si>
    <t>ZAHOOR AHMAD</t>
  </si>
  <si>
    <t>23/2/2021</t>
  </si>
  <si>
    <t>NAZEER</t>
  </si>
  <si>
    <t>SAKINA</t>
  </si>
  <si>
    <t>91/42</t>
  </si>
  <si>
    <t>RAFIQ</t>
  </si>
  <si>
    <t>BALQEES</t>
  </si>
  <si>
    <t>SULTAN</t>
  </si>
  <si>
    <t>ZAINAB</t>
  </si>
  <si>
    <t>MISRAH</t>
  </si>
  <si>
    <t>24/2/2021</t>
  </si>
  <si>
    <t>ABDUL RASHEED</t>
  </si>
  <si>
    <t>TAHIRA</t>
  </si>
  <si>
    <t>140/98</t>
  </si>
  <si>
    <t>ABDUL RAZEAQ</t>
  </si>
  <si>
    <t>25/2/2021</t>
  </si>
  <si>
    <t>KOSAR ABBAS</t>
  </si>
  <si>
    <t>ARSHAD</t>
  </si>
  <si>
    <t>M NAEEM</t>
  </si>
  <si>
    <t>SHAMSHAD</t>
  </si>
  <si>
    <t>130/60</t>
  </si>
  <si>
    <t>HAQ SARDAR</t>
  </si>
  <si>
    <t>100/70</t>
  </si>
  <si>
    <t>BUSJARA BOBI</t>
  </si>
  <si>
    <t>MANZOOR BIBI</t>
  </si>
  <si>
    <t>170/100</t>
  </si>
  <si>
    <t xml:space="preserve">NASREEN </t>
  </si>
  <si>
    <t>230/130</t>
  </si>
  <si>
    <t>NZEER BIBI</t>
  </si>
  <si>
    <t>140/90</t>
  </si>
  <si>
    <t>H1</t>
  </si>
  <si>
    <t xml:space="preserve">SADIQ </t>
  </si>
  <si>
    <t>KHURSHEED BIBI</t>
  </si>
  <si>
    <t>MUSHKTAQ</t>
  </si>
  <si>
    <t>GHULAM M</t>
  </si>
  <si>
    <t>31201-7568264-5</t>
  </si>
  <si>
    <t>NZIR</t>
  </si>
  <si>
    <t>NAZIEERNA BIBI</t>
  </si>
  <si>
    <t>GHULAM MUSTAFA</t>
  </si>
  <si>
    <t>M HAROON</t>
  </si>
  <si>
    <t>15/70</t>
  </si>
  <si>
    <t>16/2/2021</t>
  </si>
  <si>
    <t>NASEEM AKHTER</t>
  </si>
  <si>
    <t>115/90</t>
  </si>
  <si>
    <t>13/2/2021</t>
  </si>
  <si>
    <t xml:space="preserve">KHALIL </t>
  </si>
  <si>
    <t>53/31</t>
  </si>
  <si>
    <t>SHABER SHAH</t>
  </si>
  <si>
    <t>36202-0648140-3</t>
  </si>
  <si>
    <t>BENISH</t>
  </si>
  <si>
    <t>134/80</t>
  </si>
  <si>
    <t>SUMAYA</t>
  </si>
  <si>
    <t>SHUMILA</t>
  </si>
  <si>
    <t>IRSHAD</t>
  </si>
  <si>
    <t>MEHWISH</t>
  </si>
  <si>
    <t>PULM</t>
  </si>
  <si>
    <t>M SHAFEEQ</t>
  </si>
  <si>
    <t>80/32</t>
  </si>
  <si>
    <t>MISBA</t>
  </si>
  <si>
    <t>M0NZOR</t>
  </si>
  <si>
    <t>75/47</t>
  </si>
  <si>
    <t>USAMA</t>
  </si>
  <si>
    <t>180/100</t>
  </si>
  <si>
    <t>31202-695461-3</t>
  </si>
  <si>
    <t>14/2/2021</t>
  </si>
  <si>
    <t>HAMEED</t>
  </si>
  <si>
    <t>HAUSAN</t>
  </si>
  <si>
    <t>JANAAT</t>
  </si>
  <si>
    <t>ARIBA</t>
  </si>
  <si>
    <t>ZARENA</t>
  </si>
  <si>
    <t>SHAHIDA</t>
  </si>
  <si>
    <t>15/2/2021</t>
  </si>
  <si>
    <t>GHULAM SHABEER</t>
  </si>
  <si>
    <t>JAMEEL</t>
  </si>
  <si>
    <t>176/93</t>
  </si>
  <si>
    <t>AMNA</t>
  </si>
  <si>
    <t>RAHEEEM ELAHI</t>
  </si>
  <si>
    <t>31202-2392203-1</t>
  </si>
  <si>
    <t>NOOR MAI</t>
  </si>
  <si>
    <t xml:space="preserve">IRUM </t>
  </si>
  <si>
    <t>ASGIR</t>
  </si>
  <si>
    <t>QUBRA</t>
  </si>
  <si>
    <t>17/2/2021</t>
  </si>
  <si>
    <t>SHAMEEM BB</t>
  </si>
  <si>
    <t>31102-8100417-1</t>
  </si>
  <si>
    <t>70/37</t>
  </si>
  <si>
    <t>SUGHRN</t>
  </si>
  <si>
    <t>41/18</t>
  </si>
  <si>
    <t>JUNAID</t>
  </si>
  <si>
    <t>27/1/2021</t>
  </si>
  <si>
    <t>SAKEENA BB</t>
  </si>
  <si>
    <t>31202-1704292-9</t>
  </si>
  <si>
    <t>28/1/2021</t>
  </si>
  <si>
    <t>SAEEDA</t>
  </si>
  <si>
    <t>31202-1019642-1</t>
  </si>
  <si>
    <t>QAMMAR</t>
  </si>
  <si>
    <t>NOOR FATIMA</t>
  </si>
  <si>
    <t>62/36</t>
  </si>
  <si>
    <t>29/1/2021</t>
  </si>
  <si>
    <t>M DIN</t>
  </si>
  <si>
    <t>31203-309880-3</t>
  </si>
  <si>
    <t>31205-8196766-3</t>
  </si>
  <si>
    <t>M MBUSHAK</t>
  </si>
  <si>
    <t>SHABAINA</t>
  </si>
  <si>
    <t>110/86</t>
  </si>
  <si>
    <t>QASIM</t>
  </si>
  <si>
    <t>31/1/2021</t>
  </si>
  <si>
    <t>FAIZ UALLAH</t>
  </si>
  <si>
    <t>101/60</t>
  </si>
  <si>
    <t>IQBAL</t>
  </si>
  <si>
    <t>30/1/2021</t>
  </si>
  <si>
    <t>GHULAM HUSSAIN</t>
  </si>
  <si>
    <t>NUJAMA</t>
  </si>
  <si>
    <t>100/45</t>
  </si>
  <si>
    <t>25/1/2021</t>
  </si>
  <si>
    <t>ZAIBA</t>
  </si>
  <si>
    <t xml:space="preserve"> M ASLAM</t>
  </si>
  <si>
    <t>45/10</t>
  </si>
  <si>
    <t>ISRAR</t>
  </si>
  <si>
    <t>RAMZAN</t>
  </si>
  <si>
    <t>IRFAN</t>
  </si>
  <si>
    <t>KAREEM HUSAIN</t>
  </si>
  <si>
    <t>130/70</t>
  </si>
  <si>
    <t>KHALIL UR REHMAN</t>
  </si>
  <si>
    <t>ABUL MAJID</t>
  </si>
  <si>
    <t>HYAT KHAN</t>
  </si>
  <si>
    <t>ISARAF</t>
  </si>
  <si>
    <t>71/38</t>
  </si>
  <si>
    <t>90/50</t>
  </si>
  <si>
    <t>NAZIRAN BB</t>
  </si>
  <si>
    <t>150/100</t>
  </si>
  <si>
    <t>BANO MAI</t>
  </si>
  <si>
    <t>40/0</t>
  </si>
  <si>
    <t>M RAMZAN</t>
  </si>
  <si>
    <t>NAZAR HUSAIN</t>
  </si>
  <si>
    <t>191/141</t>
  </si>
  <si>
    <t>185/110</t>
  </si>
  <si>
    <t>HALEEMA</t>
  </si>
  <si>
    <t>NADEEM</t>
  </si>
  <si>
    <t>TASLEEM</t>
  </si>
  <si>
    <t>ABBAS</t>
  </si>
  <si>
    <t>73/43</t>
  </si>
  <si>
    <t>KAREEM</t>
  </si>
  <si>
    <t>AMEEN</t>
  </si>
  <si>
    <t>RAHEEMA BIBI</t>
  </si>
  <si>
    <t>GHULAM ABBAS</t>
  </si>
  <si>
    <t>RABIA</t>
  </si>
  <si>
    <t>120/110</t>
  </si>
  <si>
    <t>SABIR</t>
  </si>
  <si>
    <t>JANNAT BIBI</t>
  </si>
  <si>
    <t>MUHAMMAD ARIF</t>
  </si>
  <si>
    <t>NEGAR SULTANA</t>
  </si>
  <si>
    <t>MAJIDA</t>
  </si>
  <si>
    <t>MANZUR</t>
  </si>
  <si>
    <t>NOOR AHMAD</t>
  </si>
  <si>
    <t>SIDRA USMAN</t>
  </si>
  <si>
    <t>95/50</t>
  </si>
  <si>
    <t>RABIYA</t>
  </si>
  <si>
    <t>146/92</t>
  </si>
  <si>
    <t>RABIYA SHKEEL</t>
  </si>
  <si>
    <t>KHADIM</t>
  </si>
  <si>
    <t>KULSUM</t>
  </si>
  <si>
    <t>ATIQ</t>
  </si>
  <si>
    <t>117/61</t>
  </si>
  <si>
    <t>136/37</t>
  </si>
  <si>
    <t>MUKTARA BB</t>
  </si>
  <si>
    <t>95/60</t>
  </si>
  <si>
    <t>BASHIR AHMAD</t>
  </si>
  <si>
    <t>MANZOOR</t>
  </si>
  <si>
    <t>171/103</t>
  </si>
  <si>
    <t>190/110</t>
  </si>
  <si>
    <t>SARWAR</t>
  </si>
  <si>
    <t>150/90</t>
  </si>
  <si>
    <t>LIYAQAT</t>
  </si>
  <si>
    <t>31201-2417216-9</t>
  </si>
  <si>
    <t>SUJHRAN</t>
  </si>
  <si>
    <t>31202-1942788-2</t>
  </si>
  <si>
    <t>MEHNAZ</t>
  </si>
  <si>
    <t>26201-7689226-1</t>
  </si>
  <si>
    <t>IRSHID</t>
  </si>
  <si>
    <t>M SHAZID</t>
  </si>
  <si>
    <t>KHUDA BUKSH</t>
  </si>
  <si>
    <t>31302-8225031-7</t>
  </si>
  <si>
    <t>RABNAWAZ</t>
  </si>
  <si>
    <t>180/60</t>
  </si>
  <si>
    <t>GULAM RASOOL</t>
  </si>
  <si>
    <t>SAKIELLA</t>
  </si>
  <si>
    <t>HAYAT</t>
  </si>
  <si>
    <t>ZUBAIDA BB</t>
  </si>
  <si>
    <t>KINZA</t>
  </si>
  <si>
    <t>85/44</t>
  </si>
  <si>
    <t>MUNAIR</t>
  </si>
  <si>
    <t>GULAM NABI</t>
  </si>
  <si>
    <t>MASHOOK</t>
  </si>
  <si>
    <t>AHMAD KHAN</t>
  </si>
  <si>
    <t>102/61</t>
  </si>
  <si>
    <t>FARAZ AHAMD</t>
  </si>
  <si>
    <t>SHKAKEEL</t>
  </si>
  <si>
    <t>JALAL DIN</t>
  </si>
  <si>
    <t>110/140</t>
  </si>
  <si>
    <t>100/50</t>
  </si>
  <si>
    <t>DOLAT KHAN</t>
  </si>
  <si>
    <t>240/200</t>
  </si>
  <si>
    <t>31/12/2020</t>
  </si>
  <si>
    <t>SHAMEEM</t>
  </si>
  <si>
    <t>SALAMAT</t>
  </si>
  <si>
    <t>REHANA</t>
  </si>
  <si>
    <t>IRSID BB</t>
  </si>
  <si>
    <t>RIZWANA</t>
  </si>
  <si>
    <t>KHALID</t>
  </si>
  <si>
    <t>100/40</t>
  </si>
  <si>
    <t>SAMINA</t>
  </si>
  <si>
    <t>ANWAR</t>
  </si>
  <si>
    <t>77/41</t>
  </si>
  <si>
    <t>ABUL QADIR</t>
  </si>
  <si>
    <t>100/80</t>
  </si>
  <si>
    <t>REHMAT BB</t>
  </si>
  <si>
    <t>ZULFIQAR</t>
  </si>
  <si>
    <t>AFZAL</t>
  </si>
  <si>
    <t>RIYAZ AHKTER</t>
  </si>
  <si>
    <t>KHURID</t>
  </si>
  <si>
    <t>ALLAH BUSHEK</t>
  </si>
  <si>
    <t>MUBEEN BB</t>
  </si>
  <si>
    <t>MAYAR</t>
  </si>
  <si>
    <t>ANABYA</t>
  </si>
  <si>
    <t>63/20</t>
  </si>
  <si>
    <t xml:space="preserve">ZUBAIR </t>
  </si>
  <si>
    <t>IBRAHIM</t>
  </si>
  <si>
    <t>MSRYAM</t>
  </si>
  <si>
    <t>MUMTAZ</t>
  </si>
  <si>
    <t>86/57</t>
  </si>
  <si>
    <t>GULAM MUHAMMAD</t>
  </si>
  <si>
    <t>NASEEM BB</t>
  </si>
  <si>
    <t>KISHUAR BB</t>
  </si>
  <si>
    <t>M ISMAIL</t>
  </si>
  <si>
    <t>GAZALA</t>
  </si>
  <si>
    <t>NAZEERAM BB</t>
  </si>
  <si>
    <t>ABDUL QADIR</t>
  </si>
  <si>
    <t>SHARIFA BB</t>
  </si>
  <si>
    <t>190/49</t>
  </si>
  <si>
    <t>M MAHDI</t>
  </si>
  <si>
    <t>128/94</t>
  </si>
  <si>
    <t>SAJID</t>
  </si>
  <si>
    <t xml:space="preserve">GOSE </t>
  </si>
  <si>
    <t>GAMANE BB</t>
  </si>
  <si>
    <t>HAZOR BAKESH</t>
  </si>
  <si>
    <t>QURESHIAN</t>
  </si>
  <si>
    <t>GULAM QADIR</t>
  </si>
  <si>
    <t>GAMA</t>
  </si>
  <si>
    <t>BUSHRA</t>
  </si>
  <si>
    <t>BUSHRA BB</t>
  </si>
  <si>
    <t>21/1/2021</t>
  </si>
  <si>
    <t>ABDUL LATIF</t>
  </si>
  <si>
    <t>FARZANA</t>
  </si>
  <si>
    <t>IQRA</t>
  </si>
  <si>
    <t>22/1/2021</t>
  </si>
  <si>
    <t>SHAKEELA</t>
  </si>
  <si>
    <t xml:space="preserve">M HUSAIN </t>
  </si>
  <si>
    <t>MUKHTIAR</t>
  </si>
  <si>
    <t>ZUBARHA</t>
  </si>
  <si>
    <t>LAILA</t>
  </si>
  <si>
    <t>23/1/2021</t>
  </si>
  <si>
    <t>QANDEL</t>
  </si>
  <si>
    <t>ABUL SHAKOOR</t>
  </si>
  <si>
    <t>42/20</t>
  </si>
  <si>
    <t>BANU</t>
  </si>
  <si>
    <t>50/30</t>
  </si>
  <si>
    <t>ALLAH YAR</t>
  </si>
  <si>
    <t>HABIB</t>
  </si>
  <si>
    <t>62/32</t>
  </si>
  <si>
    <t>ZABO</t>
  </si>
  <si>
    <t>50/40</t>
  </si>
  <si>
    <t>DILAWAR</t>
  </si>
  <si>
    <t>HASEENA</t>
  </si>
  <si>
    <t>NEELAM</t>
  </si>
  <si>
    <t>BASHERAN</t>
  </si>
  <si>
    <t>24/1/2021</t>
  </si>
  <si>
    <t>FATIMA</t>
  </si>
  <si>
    <t>14/110</t>
  </si>
  <si>
    <t>BASHRAN</t>
  </si>
  <si>
    <t>HAKEEM</t>
  </si>
  <si>
    <t>BIALAL</t>
  </si>
  <si>
    <t>120/70</t>
  </si>
  <si>
    <t>ALLAH WASYA</t>
  </si>
  <si>
    <t>GHAFOOR</t>
  </si>
  <si>
    <t>ZAINAB BB</t>
  </si>
  <si>
    <t>FAROOQ</t>
  </si>
  <si>
    <t>70/50</t>
  </si>
  <si>
    <t>FAIZA ILLHAHI</t>
  </si>
  <si>
    <t xml:space="preserve">IMAM </t>
  </si>
  <si>
    <t>26/1/2021</t>
  </si>
  <si>
    <t>RUKHSANA</t>
  </si>
  <si>
    <t>YAHIRA</t>
  </si>
  <si>
    <t>ZAHOORAN</t>
  </si>
  <si>
    <t xml:space="preserve">khadim hussain </t>
  </si>
  <si>
    <t>14/1/2021</t>
  </si>
  <si>
    <t>15/1/2021</t>
  </si>
  <si>
    <t>NASRINE</t>
  </si>
  <si>
    <t>110/50</t>
  </si>
  <si>
    <t>ZAFAR</t>
  </si>
  <si>
    <t>MAMONA</t>
  </si>
  <si>
    <t>MAHNAZ</t>
  </si>
  <si>
    <t>150/110</t>
  </si>
  <si>
    <t>IJAZ</t>
  </si>
  <si>
    <t>NABEEL</t>
  </si>
  <si>
    <t>160/70</t>
  </si>
  <si>
    <t>ABID</t>
  </si>
  <si>
    <t>85/55</t>
  </si>
  <si>
    <t>13/12021</t>
  </si>
  <si>
    <t>16/1/2021</t>
  </si>
  <si>
    <t>BOSHRA</t>
  </si>
  <si>
    <t>SHAH NAWAZ</t>
  </si>
  <si>
    <t>50/0</t>
  </si>
  <si>
    <t>17/1/2021</t>
  </si>
  <si>
    <t>100/20</t>
  </si>
  <si>
    <t>AZIZ BB</t>
  </si>
  <si>
    <t>NADIA BB</t>
  </si>
  <si>
    <t>RASHMA BB</t>
  </si>
  <si>
    <t>AHMAD BAKISH</t>
  </si>
  <si>
    <t>18/1/2021</t>
  </si>
  <si>
    <t>ABIDA</t>
  </si>
  <si>
    <t>SUGHRAN</t>
  </si>
  <si>
    <t>RAHIM BAKHASH</t>
  </si>
  <si>
    <t>102/58</t>
  </si>
  <si>
    <t>MOSHRAF</t>
  </si>
  <si>
    <t>119/71</t>
  </si>
  <si>
    <t>PERVEEN</t>
  </si>
  <si>
    <t>50/3</t>
  </si>
  <si>
    <t>19/1/2021</t>
  </si>
  <si>
    <t>WASEEM</t>
  </si>
  <si>
    <t>NARGIS</t>
  </si>
  <si>
    <t>MUKTIYAR BB</t>
  </si>
  <si>
    <t>20/1/2021</t>
  </si>
  <si>
    <t>MANZOR</t>
  </si>
  <si>
    <t>RAB NAWAZ</t>
  </si>
  <si>
    <t>MAKBOL MAI</t>
  </si>
  <si>
    <t>M HUSSAIN</t>
  </si>
  <si>
    <t>51/28</t>
  </si>
  <si>
    <t>GHULAM DASTAGIR</t>
  </si>
  <si>
    <t>AMEER KHAN</t>
  </si>
  <si>
    <t>PATHANI MAI</t>
  </si>
  <si>
    <t>152/120</t>
  </si>
  <si>
    <t>ABDUL RAUF</t>
  </si>
  <si>
    <t>HAFIZA</t>
  </si>
  <si>
    <t>MAQSOOD</t>
  </si>
  <si>
    <t>100./70</t>
  </si>
  <si>
    <t>HANIF</t>
  </si>
  <si>
    <t>ABDUL MATIME</t>
  </si>
  <si>
    <t>M SADIQ</t>
  </si>
  <si>
    <t>HALIMA</t>
  </si>
  <si>
    <t>ABDUL MAJID</t>
  </si>
  <si>
    <t>ALLAH DIYAYA</t>
  </si>
  <si>
    <t>MALIKE KABIRE</t>
  </si>
  <si>
    <t>ABDUL SATTAR</t>
  </si>
  <si>
    <t>96/63</t>
  </si>
  <si>
    <t>QULSOM</t>
  </si>
  <si>
    <t>SALEEM</t>
  </si>
  <si>
    <t>FAZE BAKSH</t>
  </si>
  <si>
    <t>ABDUL JABBAR</t>
  </si>
  <si>
    <t>120/90</t>
  </si>
  <si>
    <t>KAYAMAT BB</t>
  </si>
  <si>
    <t>SORRIYA</t>
  </si>
  <si>
    <t>SOFIYA</t>
  </si>
  <si>
    <t>RANA MUSHTAK</t>
  </si>
  <si>
    <t>GULZA BB</t>
  </si>
  <si>
    <t>RUBINA</t>
  </si>
  <si>
    <t>50/20</t>
  </si>
  <si>
    <t>M AKEEL</t>
  </si>
  <si>
    <t>SAJAD</t>
  </si>
  <si>
    <t>ZUBADA</t>
  </si>
  <si>
    <t>230/150</t>
  </si>
  <si>
    <t>92/55</t>
  </si>
  <si>
    <t>SYED</t>
  </si>
  <si>
    <t>ZAHORE BB</t>
  </si>
  <si>
    <t>POISENE</t>
  </si>
  <si>
    <t>SAJAD HUSSAIN</t>
  </si>
  <si>
    <t>SHABIR</t>
  </si>
  <si>
    <t>GULAM FARID</t>
  </si>
  <si>
    <t>AZARA BB</t>
  </si>
  <si>
    <t>SHAFI</t>
  </si>
  <si>
    <t>BOODY WEEKNESS</t>
  </si>
  <si>
    <t>66/38</t>
  </si>
  <si>
    <t>FIDA</t>
  </si>
  <si>
    <t>GASTO INJERY</t>
  </si>
  <si>
    <t>M BOTA</t>
  </si>
  <si>
    <t>NAWAZ BB</t>
  </si>
  <si>
    <t>13/1/2021</t>
  </si>
  <si>
    <t>SAKEKENA</t>
  </si>
  <si>
    <t>CKD</t>
  </si>
  <si>
    <t>ASHO MAI</t>
  </si>
  <si>
    <t>HEART</t>
  </si>
  <si>
    <t>72/36</t>
  </si>
  <si>
    <t>CESAREAN</t>
  </si>
  <si>
    <t>IKHLAQ AHMAD</t>
  </si>
  <si>
    <t>94/54</t>
  </si>
  <si>
    <t>AMENA BB</t>
  </si>
  <si>
    <t>SUGER</t>
  </si>
  <si>
    <t>NAZER AHMAD</t>
  </si>
  <si>
    <t>HEART atteck</t>
  </si>
  <si>
    <t>MAQBOL MAI</t>
  </si>
  <si>
    <t>60/36</t>
  </si>
  <si>
    <t>NAMONIYA</t>
  </si>
  <si>
    <t>KHATONE BB</t>
  </si>
  <si>
    <t xml:space="preserve">DIYA </t>
  </si>
  <si>
    <t>113/61</t>
  </si>
  <si>
    <t>M UMAR</t>
  </si>
  <si>
    <t>MAKSOOD MAI</t>
  </si>
  <si>
    <t>SAPSIS</t>
  </si>
  <si>
    <t>AYESHA</t>
  </si>
  <si>
    <t>84/45</t>
  </si>
  <si>
    <t>NGO DEMA</t>
  </si>
  <si>
    <t>ALLAH DITA</t>
  </si>
  <si>
    <t>HYPOTENSIVE SHOKE</t>
  </si>
  <si>
    <t>SHAHIDA BB</t>
  </si>
  <si>
    <t>90/5</t>
  </si>
  <si>
    <t>220/180</t>
  </si>
  <si>
    <t>60/10</t>
  </si>
  <si>
    <t>CH MUSTAFA</t>
  </si>
  <si>
    <t>14/2/2022</t>
  </si>
  <si>
    <t>KASLOOM</t>
  </si>
  <si>
    <t>13/2/2022</t>
  </si>
  <si>
    <t>54/50</t>
  </si>
  <si>
    <t>CH MURTAZA</t>
  </si>
  <si>
    <t>105/59</t>
  </si>
  <si>
    <t>36316-7889728-5</t>
  </si>
  <si>
    <t>BHIRAWAN MAI</t>
  </si>
  <si>
    <t>134/84</t>
  </si>
  <si>
    <t>NAZEERAN BB</t>
  </si>
  <si>
    <t>120/75</t>
  </si>
  <si>
    <t xml:space="preserve">NAZEERAN </t>
  </si>
  <si>
    <t>ZAFAA HAYYAT</t>
  </si>
  <si>
    <t>15/100</t>
  </si>
  <si>
    <t>ABDUL MAJEED</t>
  </si>
  <si>
    <t>160/130</t>
  </si>
  <si>
    <t>M SHRIF</t>
  </si>
  <si>
    <t>SHZIA</t>
  </si>
  <si>
    <t>142/116</t>
  </si>
  <si>
    <t xml:space="preserve">M JUNNAID </t>
  </si>
  <si>
    <t>AKBAR</t>
  </si>
  <si>
    <t>15/2/2022</t>
  </si>
  <si>
    <t>16/2/2022</t>
  </si>
  <si>
    <t>M ARSHAD</t>
  </si>
  <si>
    <t>KNEEZ</t>
  </si>
  <si>
    <t>193/90</t>
  </si>
  <si>
    <t>YASMEEN BB</t>
  </si>
  <si>
    <t xml:space="preserve">SHAMIM  </t>
  </si>
  <si>
    <t>220/42</t>
  </si>
  <si>
    <t>17/2/2022</t>
  </si>
  <si>
    <t>SAEED</t>
  </si>
  <si>
    <t>134/58</t>
  </si>
  <si>
    <t>31202-8841723-1</t>
  </si>
  <si>
    <t>GULAM SERWAR</t>
  </si>
  <si>
    <t>110/90</t>
  </si>
  <si>
    <t>M ISHAQ</t>
  </si>
  <si>
    <t>M SHOIAB</t>
  </si>
  <si>
    <t>160/110</t>
  </si>
  <si>
    <t>SHARAFAT</t>
  </si>
  <si>
    <t>AHMAD YAR</t>
  </si>
  <si>
    <t>74/51</t>
  </si>
  <si>
    <t>160/115</t>
  </si>
  <si>
    <t>18/19/2022</t>
  </si>
  <si>
    <t>19/2/2022</t>
  </si>
  <si>
    <t>FAIZAN</t>
  </si>
  <si>
    <t>GHULAM NAZIR</t>
  </si>
  <si>
    <t>36203-5620160-5</t>
  </si>
  <si>
    <t>SUGRAN BB</t>
  </si>
  <si>
    <t>AMINA</t>
  </si>
  <si>
    <t>ZAFFER</t>
  </si>
  <si>
    <t>SOFIA</t>
  </si>
  <si>
    <t>20/2/2022</t>
  </si>
  <si>
    <t>VALI MUHAMMAD</t>
  </si>
  <si>
    <t>73/51</t>
  </si>
  <si>
    <t>FRZANA</t>
  </si>
  <si>
    <t>ARSLAN</t>
  </si>
  <si>
    <t>ABUL HAMEED</t>
  </si>
  <si>
    <t>31202-3201178-9</t>
  </si>
  <si>
    <t>M AKBAR</t>
  </si>
  <si>
    <t>220/110</t>
  </si>
  <si>
    <t>ISRAF</t>
  </si>
  <si>
    <t>142/54</t>
  </si>
  <si>
    <t>21/2/2022</t>
  </si>
  <si>
    <t>SIBAKA NOOR</t>
  </si>
  <si>
    <t>M ARSHID</t>
  </si>
  <si>
    <t>ISHFAQ</t>
  </si>
  <si>
    <t>98/44</t>
  </si>
  <si>
    <t>NASEEM MAI</t>
  </si>
  <si>
    <t>75/35</t>
  </si>
  <si>
    <t>JANAT</t>
  </si>
  <si>
    <t>109/50</t>
  </si>
  <si>
    <t>22/2/2022</t>
  </si>
  <si>
    <t>REHAN</t>
  </si>
  <si>
    <t>32/80</t>
  </si>
  <si>
    <t>SUMAIRA</t>
  </si>
  <si>
    <t>139/96</t>
  </si>
  <si>
    <t>SAJIDA</t>
  </si>
  <si>
    <t>50/13</t>
  </si>
  <si>
    <t>NOMAN</t>
  </si>
  <si>
    <t>ALI RAZA</t>
  </si>
  <si>
    <t>46/17</t>
  </si>
  <si>
    <t>23/2/2022</t>
  </si>
  <si>
    <t>WAHEED</t>
  </si>
  <si>
    <t>110/17</t>
  </si>
  <si>
    <t>NOOR M</t>
  </si>
  <si>
    <t>M ISHIQ</t>
  </si>
  <si>
    <t>MADNI</t>
  </si>
  <si>
    <t>JAWWED</t>
  </si>
  <si>
    <t>24/2/2022</t>
  </si>
  <si>
    <t>200/100</t>
  </si>
  <si>
    <t>SYEDA BEGUM</t>
  </si>
  <si>
    <t>ALLAH DITTA</t>
  </si>
  <si>
    <t>36201-749337-1</t>
  </si>
  <si>
    <t>WAIRS</t>
  </si>
  <si>
    <t>112/48</t>
  </si>
  <si>
    <t>MUQADAS</t>
  </si>
  <si>
    <t>BALUEES</t>
  </si>
  <si>
    <t>31205-9327014-5</t>
  </si>
  <si>
    <t>ALLAH RHKA</t>
  </si>
  <si>
    <t xml:space="preserve">SHAKIR </t>
  </si>
  <si>
    <t>SIRAJ AHMAD</t>
  </si>
  <si>
    <t>31301-05320353</t>
  </si>
  <si>
    <t>25/2/2022</t>
  </si>
  <si>
    <t>131/89</t>
  </si>
  <si>
    <t>ASIF</t>
  </si>
  <si>
    <t>26/2/2022</t>
  </si>
  <si>
    <t>27/2/2022</t>
  </si>
  <si>
    <t>MEHER MAI</t>
  </si>
  <si>
    <t>M ASLAM</t>
  </si>
  <si>
    <t>55/30</t>
  </si>
  <si>
    <t>SURIYA</t>
  </si>
  <si>
    <t>RUB NAWAZ</t>
  </si>
  <si>
    <t xml:space="preserve">SAMAINA BB </t>
  </si>
  <si>
    <t>55/24</t>
  </si>
  <si>
    <t>GULAM YASEEN</t>
  </si>
  <si>
    <t>IJMAL</t>
  </si>
  <si>
    <t>ZOYA</t>
  </si>
  <si>
    <t>170/120</t>
  </si>
  <si>
    <t>SHABANA</t>
  </si>
  <si>
    <t>SARDAR KHAN</t>
  </si>
  <si>
    <t>M YAR</t>
  </si>
  <si>
    <t>145/75</t>
  </si>
  <si>
    <t xml:space="preserve">BASHIR </t>
  </si>
  <si>
    <t>M YAHY</t>
  </si>
  <si>
    <t>KAWSOR</t>
  </si>
  <si>
    <t>139/74</t>
  </si>
  <si>
    <t>SAFDARI BB</t>
  </si>
  <si>
    <t>ALLAH DEWAYE</t>
  </si>
  <si>
    <t xml:space="preserve">M ASLAM </t>
  </si>
  <si>
    <t>HAMEED BB</t>
  </si>
  <si>
    <t>SAKIEENA BB</t>
  </si>
  <si>
    <t>MEHBOOB</t>
  </si>
  <si>
    <t>150/75</t>
  </si>
  <si>
    <t>M HASSAN</t>
  </si>
  <si>
    <t>130/100</t>
  </si>
  <si>
    <t>SHAHIDA PERVEEN</t>
  </si>
  <si>
    <t>RIMSHA</t>
  </si>
  <si>
    <t>M SALEEM</t>
  </si>
  <si>
    <t>140/85</t>
  </si>
  <si>
    <t>93/95</t>
  </si>
  <si>
    <t>SATTA BB</t>
  </si>
  <si>
    <t>220/120</t>
  </si>
  <si>
    <t>M IMTIYAZ</t>
  </si>
  <si>
    <t>SIDAR BB</t>
  </si>
  <si>
    <t xml:space="preserve">H FIZAL </t>
  </si>
  <si>
    <t>200/140</t>
  </si>
  <si>
    <t>ZAREENA</t>
  </si>
  <si>
    <t>47/25</t>
  </si>
  <si>
    <t>KHATOON BB</t>
  </si>
  <si>
    <t>MANZOOR BB</t>
  </si>
  <si>
    <t>138/86</t>
  </si>
  <si>
    <t>M HALEEN</t>
  </si>
  <si>
    <t>GHUAM SHABIR</t>
  </si>
  <si>
    <t>165/100</t>
  </si>
  <si>
    <t>M MAJID</t>
  </si>
  <si>
    <t>AMIR</t>
  </si>
  <si>
    <t>RAZIA BB</t>
  </si>
  <si>
    <t>31020-6492834-5</t>
  </si>
  <si>
    <t>106/56</t>
  </si>
  <si>
    <t>RAFIYA BB</t>
  </si>
  <si>
    <t>83/45</t>
  </si>
  <si>
    <t>130/88</t>
  </si>
  <si>
    <t>MUKHTIYAR</t>
  </si>
  <si>
    <t>ALLAH BUKSH</t>
  </si>
  <si>
    <t>SHAMIM MAI</t>
  </si>
  <si>
    <t>AYOUB</t>
  </si>
  <si>
    <t>84/49</t>
  </si>
  <si>
    <t>GULAM FATIMA</t>
  </si>
  <si>
    <t>SAEEDA BB</t>
  </si>
  <si>
    <t xml:space="preserve">AMARA </t>
  </si>
  <si>
    <t>120/63</t>
  </si>
  <si>
    <t>MANSOOR</t>
  </si>
  <si>
    <t>85/40</t>
  </si>
  <si>
    <t>M RANJHA</t>
  </si>
  <si>
    <t>73/42</t>
  </si>
  <si>
    <t>KOSAR</t>
  </si>
  <si>
    <t>72/38</t>
  </si>
  <si>
    <t>ISRAT</t>
  </si>
  <si>
    <t>MARYAIM</t>
  </si>
  <si>
    <t>BARKAT ALI</t>
  </si>
  <si>
    <t>AMJAD</t>
  </si>
  <si>
    <t>147/81</t>
  </si>
  <si>
    <t>KALSOOM</t>
  </si>
  <si>
    <t>88/65</t>
  </si>
  <si>
    <t>SHEIRSH</t>
  </si>
  <si>
    <t>70/60</t>
  </si>
  <si>
    <t>167/107</t>
  </si>
  <si>
    <t>FAYYZ BB</t>
  </si>
  <si>
    <t>73/41</t>
  </si>
  <si>
    <t>90/6</t>
  </si>
  <si>
    <t>86/50</t>
  </si>
  <si>
    <t>ILAM KHAN</t>
  </si>
  <si>
    <t>ABUL GAFOOR</t>
  </si>
  <si>
    <t>63/31</t>
  </si>
  <si>
    <t xml:space="preserve">ADNAN </t>
  </si>
  <si>
    <t>HUMAIRA</t>
  </si>
  <si>
    <t>67/53</t>
  </si>
  <si>
    <t>RAFAQAT ALI</t>
  </si>
  <si>
    <t>RUBAB</t>
  </si>
  <si>
    <t>HAJI AHMAD</t>
  </si>
  <si>
    <t>ALLAH BUSHK</t>
  </si>
  <si>
    <t>114/58</t>
  </si>
  <si>
    <t>HAQ NAWAZ</t>
  </si>
  <si>
    <t>133/75</t>
  </si>
  <si>
    <t>BAKHTAWAR</t>
  </si>
  <si>
    <t>IZMAT</t>
  </si>
  <si>
    <t>NASIR</t>
  </si>
  <si>
    <t>148/86</t>
  </si>
  <si>
    <t>RAHEEM</t>
  </si>
  <si>
    <t>140/91</t>
  </si>
  <si>
    <t>GULAM ALI</t>
  </si>
  <si>
    <t>SHEAMAM BB</t>
  </si>
  <si>
    <t>74/48</t>
  </si>
  <si>
    <t>16/3/2022</t>
  </si>
  <si>
    <t>17/3/2022</t>
  </si>
  <si>
    <t>18/3/2022</t>
  </si>
  <si>
    <t>19/3/2022</t>
  </si>
  <si>
    <t>20/3/2022</t>
  </si>
  <si>
    <t>21/3/2022</t>
  </si>
  <si>
    <t>AZEMMA</t>
  </si>
  <si>
    <t>18/1/2022</t>
  </si>
  <si>
    <t>ABDULSUBAN</t>
  </si>
  <si>
    <t>180/130</t>
  </si>
  <si>
    <t>ABDUL KHALIK</t>
  </si>
  <si>
    <t>17/1/2022</t>
  </si>
  <si>
    <t xml:space="preserve">KHURSHID </t>
  </si>
  <si>
    <t>M MADEEM</t>
  </si>
  <si>
    <t>ZANAB</t>
  </si>
  <si>
    <t>M IQBAL</t>
  </si>
  <si>
    <t>115/55</t>
  </si>
  <si>
    <t>20/12022</t>
  </si>
  <si>
    <t>USMAN</t>
  </si>
  <si>
    <t>108/67</t>
  </si>
  <si>
    <t>NOOR HUSSAIN</t>
  </si>
  <si>
    <t xml:space="preserve">NAHEED </t>
  </si>
  <si>
    <t>210/120</t>
  </si>
  <si>
    <t>KHUDA BAKISH</t>
  </si>
  <si>
    <t>102/77</t>
  </si>
  <si>
    <t xml:space="preserve">ABDUL HAMEED </t>
  </si>
  <si>
    <t>KODRAT ELAHI</t>
  </si>
  <si>
    <t>21/1/2022</t>
  </si>
  <si>
    <t>SAFIYA BB</t>
  </si>
  <si>
    <t>19/1/2022</t>
  </si>
  <si>
    <t>MUSTAFA</t>
  </si>
  <si>
    <t>SHAMIM</t>
  </si>
  <si>
    <t>GHULAM RASOOL</t>
  </si>
  <si>
    <t>107/58</t>
  </si>
  <si>
    <t>22/1/2022</t>
  </si>
  <si>
    <t>52/31</t>
  </si>
  <si>
    <t>0/0</t>
  </si>
  <si>
    <t>ABDUL STAR</t>
  </si>
  <si>
    <t>23/1/2022</t>
  </si>
  <si>
    <t>ABDUL GHANI</t>
  </si>
  <si>
    <t>UMAIR</t>
  </si>
  <si>
    <t>132/81</t>
  </si>
  <si>
    <t>NAWAZ</t>
  </si>
  <si>
    <t>MANZOORAN BIBI</t>
  </si>
  <si>
    <t>24/1/2022</t>
  </si>
  <si>
    <t>ANUM</t>
  </si>
  <si>
    <t>83/59</t>
  </si>
  <si>
    <t>PER BUKSH</t>
  </si>
  <si>
    <t>106/60</t>
  </si>
  <si>
    <t>GHULAM SARWAR</t>
  </si>
  <si>
    <t>90/48</t>
  </si>
  <si>
    <t>25/1/2022</t>
  </si>
  <si>
    <t>MUSHTAQ</t>
  </si>
  <si>
    <t>31/1/2022</t>
  </si>
  <si>
    <t>M. NAWAZ</t>
  </si>
  <si>
    <t>SABA MAI</t>
  </si>
  <si>
    <t>ALI MUHAMMAD</t>
  </si>
  <si>
    <t>MUHAMMAD TARIQ</t>
  </si>
  <si>
    <t>26/1/2022</t>
  </si>
  <si>
    <t>MAQSOOD BIBI</t>
  </si>
  <si>
    <t>SAKINA BIBI</t>
  </si>
  <si>
    <t>260/160</t>
  </si>
  <si>
    <t>A. DEWAYA</t>
  </si>
  <si>
    <t>ANUM BIBI</t>
  </si>
  <si>
    <t>30/0</t>
  </si>
  <si>
    <t>AHMAD BUTT</t>
  </si>
  <si>
    <t>173/105</t>
  </si>
  <si>
    <t>27/1/2022</t>
  </si>
  <si>
    <t>SUGHRA</t>
  </si>
  <si>
    <t>MUHAMMAD SHAFI</t>
  </si>
  <si>
    <t>160/83</t>
  </si>
  <si>
    <t>28/1/2022</t>
  </si>
  <si>
    <t>66/36</t>
  </si>
  <si>
    <t>JANNAT</t>
  </si>
  <si>
    <t>135/115</t>
  </si>
  <si>
    <t>29/1/2022</t>
  </si>
  <si>
    <t>KHADIM HASSAN</t>
  </si>
  <si>
    <t>SALMA</t>
  </si>
  <si>
    <t>30/1/2022</t>
  </si>
  <si>
    <t>RAFEEQ</t>
  </si>
  <si>
    <t>180/120</t>
  </si>
  <si>
    <t>ZAHOOR MAI</t>
  </si>
  <si>
    <t>111/64</t>
  </si>
  <si>
    <t>ABDUL KHALID</t>
  </si>
  <si>
    <t>AMEER BUTT</t>
  </si>
  <si>
    <t>85/50</t>
  </si>
  <si>
    <t>ABDUL RAZAQ</t>
  </si>
  <si>
    <t>90/45</t>
  </si>
  <si>
    <t>MARIA BIBI</t>
  </si>
  <si>
    <t>SHAZIA</t>
  </si>
  <si>
    <t>SAGIR</t>
  </si>
  <si>
    <t>KAREEM BIBI</t>
  </si>
  <si>
    <t>SAMAN ILYAS</t>
  </si>
  <si>
    <t>MANZUR BIBI</t>
  </si>
  <si>
    <t>HAFIZ AHMAD</t>
  </si>
  <si>
    <t>145/90</t>
  </si>
  <si>
    <t>MAHAJABEEN</t>
  </si>
  <si>
    <t>FAZAL</t>
  </si>
  <si>
    <t>KUNDAN</t>
  </si>
  <si>
    <t>KHALEEL</t>
  </si>
  <si>
    <t>ASMA</t>
  </si>
  <si>
    <t>NABI BAKSH</t>
  </si>
  <si>
    <t>ANEELA</t>
  </si>
  <si>
    <t>KAMRAN</t>
  </si>
  <si>
    <t>13/1/2022</t>
  </si>
  <si>
    <t>MAQSOOD MAI</t>
  </si>
  <si>
    <t>SARVAR</t>
  </si>
  <si>
    <t>14/1/2022</t>
  </si>
  <si>
    <t>NOOR JAHAN</t>
  </si>
  <si>
    <t>145/85</t>
  </si>
  <si>
    <t>16/1/2022</t>
  </si>
  <si>
    <t>15/1/2022</t>
  </si>
  <si>
    <t>M.IQBAL</t>
  </si>
  <si>
    <t>FOUZIA BIBI</t>
  </si>
  <si>
    <t>70/00</t>
  </si>
  <si>
    <t>SAJID HUSSAIN</t>
  </si>
  <si>
    <t>ALI SHAN</t>
  </si>
  <si>
    <t>MANZOOR AHMED</t>
  </si>
  <si>
    <t>48/33</t>
  </si>
  <si>
    <t>MUKHTIAR BIBI</t>
  </si>
  <si>
    <t>116/72</t>
  </si>
  <si>
    <t>KUSAR BIBI</t>
  </si>
  <si>
    <t>ALLAH RAKHA</t>
  </si>
  <si>
    <t>HAJI MUHAMMAD</t>
  </si>
  <si>
    <t>119/55</t>
  </si>
  <si>
    <t>AMEER MAI</t>
  </si>
  <si>
    <t>BOOTA</t>
  </si>
  <si>
    <t>70/04</t>
  </si>
  <si>
    <t>180/109</t>
  </si>
  <si>
    <t>MUNAWAR MAI</t>
  </si>
  <si>
    <t>96/58</t>
  </si>
  <si>
    <t>GHULAM HAIDER</t>
  </si>
  <si>
    <t>ZAINBO KHATON</t>
  </si>
  <si>
    <t>128/70</t>
  </si>
  <si>
    <t>GHULAM AHMAD</t>
  </si>
  <si>
    <t>M. SHAKEEL</t>
  </si>
  <si>
    <t>55/40</t>
  </si>
  <si>
    <t>FIDA HUSSAIN</t>
  </si>
  <si>
    <t>85/41</t>
  </si>
  <si>
    <t>M. YAMEEN</t>
  </si>
  <si>
    <t>AHMAD BAKSH</t>
  </si>
  <si>
    <t>68/35</t>
  </si>
  <si>
    <t>31/12/2021</t>
  </si>
  <si>
    <t>135/78</t>
  </si>
  <si>
    <t>MOHSIN</t>
  </si>
  <si>
    <t>MUNEEB</t>
  </si>
  <si>
    <t>54/33</t>
  </si>
  <si>
    <t>61/40</t>
  </si>
  <si>
    <t>PARVEEN</t>
  </si>
  <si>
    <t>102/49</t>
  </si>
  <si>
    <t>ALLAH WASAYA</t>
  </si>
  <si>
    <t>113/71</t>
  </si>
  <si>
    <t>SANA</t>
  </si>
  <si>
    <t>SALSUM</t>
  </si>
  <si>
    <t>M ASHIQ</t>
  </si>
  <si>
    <t>SHAHINE MONEER</t>
  </si>
  <si>
    <t>ASGAR ALI</t>
  </si>
  <si>
    <t>KARAM MAI</t>
  </si>
  <si>
    <t>98/63</t>
  </si>
  <si>
    <t>SAJDA</t>
  </si>
  <si>
    <t>97/73</t>
  </si>
  <si>
    <t xml:space="preserve">AZIZ </t>
  </si>
  <si>
    <t>83/48</t>
  </si>
  <si>
    <t>ALLAH WASJ</t>
  </si>
  <si>
    <t>M JAWAD</t>
  </si>
  <si>
    <t>167/91</t>
  </si>
  <si>
    <t>IMRAN</t>
  </si>
  <si>
    <t>NAZIR AHMAD</t>
  </si>
  <si>
    <t>FAZE M</t>
  </si>
  <si>
    <t>TASNIB</t>
  </si>
  <si>
    <t>106/65</t>
  </si>
  <si>
    <t>ROKSANA</t>
  </si>
  <si>
    <t>NAMAT</t>
  </si>
  <si>
    <t>NASEER AHMAD</t>
  </si>
  <si>
    <t>116/80</t>
  </si>
  <si>
    <t>AGHA BOKHARI</t>
  </si>
  <si>
    <t>113/39</t>
  </si>
  <si>
    <t>ILAYAS</t>
  </si>
  <si>
    <t>FARHAN</t>
  </si>
  <si>
    <t>BASHIR</t>
  </si>
  <si>
    <t>117/78</t>
  </si>
  <si>
    <t>NAVEED</t>
  </si>
  <si>
    <t>RAFIKA BB</t>
  </si>
  <si>
    <t>GULAM M</t>
  </si>
  <si>
    <t>94/61</t>
  </si>
  <si>
    <t>MOSA</t>
  </si>
  <si>
    <t>GAFORA BB</t>
  </si>
  <si>
    <t>ATIF</t>
  </si>
  <si>
    <t>NAME</t>
  </si>
  <si>
    <t>SERIEAL NO</t>
  </si>
  <si>
    <t>AGE</t>
  </si>
  <si>
    <t>WEIGHT</t>
  </si>
  <si>
    <t>HIGHT</t>
  </si>
  <si>
    <t>TEMP</t>
  </si>
  <si>
    <t>PULSE</t>
  </si>
  <si>
    <t>BP</t>
  </si>
  <si>
    <t>O2(%)</t>
  </si>
  <si>
    <t>BSR</t>
  </si>
  <si>
    <t>SKIN COLOR</t>
  </si>
  <si>
    <t>MOISTURE</t>
  </si>
  <si>
    <t>CONSCIOUS LEVEL</t>
  </si>
  <si>
    <t>ADMITE DATE</t>
  </si>
  <si>
    <t>DISCHARGE DATE</t>
  </si>
  <si>
    <t>DISEASE</t>
  </si>
  <si>
    <t>Unconscious</t>
  </si>
  <si>
    <t>sub-conscious</t>
  </si>
  <si>
    <t>yellow</t>
  </si>
  <si>
    <t>baron</t>
  </si>
  <si>
    <t>light baron</t>
  </si>
  <si>
    <t>dry</t>
  </si>
  <si>
    <t>normal</t>
  </si>
  <si>
    <t>reshes</t>
  </si>
  <si>
    <t>moisture</t>
  </si>
  <si>
    <t>sweating</t>
  </si>
  <si>
    <t>conscious</t>
  </si>
  <si>
    <t>levels</t>
  </si>
  <si>
    <t>60/1</t>
  </si>
  <si>
    <t>40/1</t>
  </si>
  <si>
    <t>50/1</t>
  </si>
  <si>
    <t>very high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</si>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</sst>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846]dd\-mm\-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  <xf numFmtId="17" fontId="0" fillId="0" borderId="0" xfId="0" applyNumberFormat="1"/>
    <xf numFmtId="14" fontId="0" fillId="0" borderId="0" xfId="0" applyNumberFormat="1"/>
    <xf numFmtId="16" fontId="0" fillId="0" borderId="0" xfId="0" applyNumberFormat="1"/>
    <xf numFmtId="164" fontId="1" fillId="2" borderId="0" xfId="0" applyNumberFormat="1" applyFont="1" applyFill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1101"/>
  <sheetViews>
    <sheetView tabSelected="1" zoomScale="85" zoomScaleNormal="85" workbookViewId="0">
      <pane ySplit="1" topLeftCell="A1048" activePane="bottomLeft" state="frozen"/>
      <selection pane="bottomLeft" activeCell="G1101" sqref="G1101"/>
    </sheetView>
  </sheetViews>
  <sheetFormatPr defaultRowHeight="15" x14ac:dyDescent="0.25"/>
  <cols>
    <col min="1" max="1" width="18.42578125" customWidth="1"/>
    <col min="2" max="3" width="13" customWidth="1"/>
    <col min="13" max="13" width="10.85546875" customWidth="1"/>
    <col min="14" max="14" width="11" customWidth="1"/>
    <col min="15" max="15" width="18" customWidth="1"/>
    <col min="16" max="16" width="17" style="7" customWidth="1"/>
    <col min="17" max="17" width="15.28515625" style="7" customWidth="1"/>
  </cols>
  <sheetData>
    <row r="1" spans="1:18" s="1" customFormat="1" x14ac:dyDescent="0.25">
      <c r="A1" s="1" t="s">
        <v>951</v>
      </c>
      <c r="B1" s="1" t="s">
        <v>952</v>
      </c>
      <c r="C1" s="1" t="s">
        <v>38</v>
      </c>
      <c r="D1" s="1" t="s">
        <v>953</v>
      </c>
      <c r="E1" s="1" t="s">
        <v>954</v>
      </c>
      <c r="F1" s="1" t="s">
        <v>955</v>
      </c>
      <c r="G1" s="1" t="s">
        <v>956</v>
      </c>
      <c r="H1" s="1" t="s">
        <v>957</v>
      </c>
      <c r="I1" s="1" t="s">
        <v>958</v>
      </c>
      <c r="J1" s="1" t="s">
        <v>959</v>
      </c>
      <c r="K1" s="1" t="s">
        <v>960</v>
      </c>
      <c r="L1" s="1" t="s">
        <v>978</v>
      </c>
      <c r="M1" s="1" t="s">
        <v>961</v>
      </c>
      <c r="N1" s="1" t="s">
        <v>962</v>
      </c>
      <c r="O1" s="1" t="s">
        <v>963</v>
      </c>
      <c r="P1" s="6" t="s">
        <v>964</v>
      </c>
      <c r="Q1" s="6" t="s">
        <v>965</v>
      </c>
      <c r="R1" s="1" t="s">
        <v>966</v>
      </c>
    </row>
    <row r="2" spans="1:18" x14ac:dyDescent="0.25">
      <c r="A2" t="s">
        <v>1</v>
      </c>
      <c r="B2">
        <v>1952333</v>
      </c>
      <c r="D2">
        <v>58</v>
      </c>
      <c r="E2">
        <v>68</v>
      </c>
      <c r="F2">
        <v>5.9</v>
      </c>
      <c r="G2">
        <v>98</v>
      </c>
      <c r="H2">
        <v>90</v>
      </c>
      <c r="I2" t="s">
        <v>0</v>
      </c>
      <c r="J2">
        <v>80</v>
      </c>
      <c r="K2">
        <v>160</v>
      </c>
      <c r="L2" t="str">
        <f>IF(K2:K1000&lt;=79,"sweet",IF(K2:K1000&lt;=120,"normal",IF(K2:K1000&lt;=250,"high",IF(K2:K1000&lt;=1000,"very high"))))</f>
        <v>high</v>
      </c>
      <c r="M2" t="s">
        <v>36</v>
      </c>
      <c r="N2" t="s">
        <v>972</v>
      </c>
      <c r="O2" t="s">
        <v>968</v>
      </c>
      <c r="P2" s="7" t="s">
        <v>33</v>
      </c>
      <c r="Q2" s="7" t="s">
        <v>19</v>
      </c>
    </row>
    <row r="3" spans="1:18" x14ac:dyDescent="0.25">
      <c r="A3" t="s">
        <v>2</v>
      </c>
      <c r="B3">
        <v>14495271</v>
      </c>
      <c r="D3">
        <v>65</v>
      </c>
      <c r="G3">
        <v>98</v>
      </c>
      <c r="H3">
        <v>112</v>
      </c>
      <c r="I3" t="s">
        <v>3</v>
      </c>
      <c r="J3">
        <v>80</v>
      </c>
      <c r="K3">
        <v>403</v>
      </c>
      <c r="L3" t="str">
        <f t="shared" ref="L3:L7" si="0">IF(K3:K1001&lt;=79,"sweet",IF(K3:K1001&lt;=120,"normal",IF(K3:K1001&lt;=250,"high",IF(K3:K1001&lt;=1000,"very high"))))</f>
        <v>very high</v>
      </c>
      <c r="O3" t="s">
        <v>967</v>
      </c>
      <c r="P3" s="7" t="s">
        <v>4</v>
      </c>
      <c r="Q3" s="7" t="s">
        <v>19</v>
      </c>
      <c r="R3" t="s">
        <v>41</v>
      </c>
    </row>
    <row r="4" spans="1:18" x14ac:dyDescent="0.25">
      <c r="A4" t="s">
        <v>7</v>
      </c>
      <c r="B4">
        <v>196024</v>
      </c>
      <c r="D4">
        <v>55</v>
      </c>
      <c r="E4">
        <v>72</v>
      </c>
      <c r="G4">
        <v>98.6</v>
      </c>
      <c r="H4">
        <v>114</v>
      </c>
      <c r="I4" t="s">
        <v>6</v>
      </c>
      <c r="J4">
        <v>93</v>
      </c>
      <c r="K4">
        <v>530</v>
      </c>
      <c r="L4" t="str">
        <f t="shared" si="0"/>
        <v>very high</v>
      </c>
      <c r="O4" t="s">
        <v>967</v>
      </c>
      <c r="P4" s="7">
        <v>44573</v>
      </c>
      <c r="Q4" s="7" t="s">
        <v>19</v>
      </c>
      <c r="R4" t="s">
        <v>41</v>
      </c>
    </row>
    <row r="5" spans="1:18" x14ac:dyDescent="0.25">
      <c r="A5" t="s">
        <v>2</v>
      </c>
      <c r="B5">
        <v>14515037</v>
      </c>
      <c r="D5">
        <v>74</v>
      </c>
      <c r="E5">
        <v>61</v>
      </c>
      <c r="G5">
        <v>98</v>
      </c>
      <c r="H5">
        <v>55</v>
      </c>
      <c r="I5" t="s">
        <v>6</v>
      </c>
      <c r="J5">
        <v>68</v>
      </c>
      <c r="K5">
        <v>285</v>
      </c>
      <c r="L5" t="str">
        <f t="shared" si="0"/>
        <v>very high</v>
      </c>
      <c r="O5" t="s">
        <v>968</v>
      </c>
      <c r="P5" s="7" t="s">
        <v>4</v>
      </c>
      <c r="Q5" s="7" t="s">
        <v>4</v>
      </c>
    </row>
    <row r="6" spans="1:18" x14ac:dyDescent="0.25">
      <c r="A6" t="s">
        <v>10</v>
      </c>
      <c r="B6">
        <v>14460305</v>
      </c>
      <c r="D6">
        <v>89</v>
      </c>
      <c r="G6">
        <v>97</v>
      </c>
      <c r="H6">
        <v>50</v>
      </c>
      <c r="I6" t="s">
        <v>11</v>
      </c>
      <c r="J6">
        <v>76</v>
      </c>
      <c r="K6">
        <v>423</v>
      </c>
      <c r="L6" t="str">
        <f t="shared" si="0"/>
        <v>very high</v>
      </c>
      <c r="O6" t="s">
        <v>968</v>
      </c>
      <c r="P6" s="7" t="s">
        <v>12</v>
      </c>
      <c r="Q6" s="7" t="s">
        <v>12</v>
      </c>
    </row>
    <row r="7" spans="1:18" x14ac:dyDescent="0.25">
      <c r="A7" t="s">
        <v>8</v>
      </c>
      <c r="B7">
        <v>14515537</v>
      </c>
      <c r="D7">
        <v>36</v>
      </c>
      <c r="G7">
        <v>98</v>
      </c>
      <c r="H7">
        <v>78</v>
      </c>
      <c r="I7" t="s">
        <v>9</v>
      </c>
      <c r="J7">
        <v>91</v>
      </c>
      <c r="K7">
        <v>130</v>
      </c>
      <c r="L7" t="str">
        <f t="shared" si="0"/>
        <v>high</v>
      </c>
      <c r="O7" t="s">
        <v>967</v>
      </c>
      <c r="P7" s="7" t="s">
        <v>4</v>
      </c>
      <c r="Q7" s="7" t="s">
        <v>19</v>
      </c>
    </row>
    <row r="8" spans="1:18" hidden="1" x14ac:dyDescent="0.25">
      <c r="A8" t="s">
        <v>13</v>
      </c>
      <c r="B8">
        <v>1956879</v>
      </c>
      <c r="D8">
        <v>56</v>
      </c>
      <c r="G8">
        <v>91</v>
      </c>
      <c r="H8">
        <v>95</v>
      </c>
      <c r="I8" t="s">
        <v>14</v>
      </c>
      <c r="J8" t="s">
        <v>5</v>
      </c>
      <c r="K8" t="s">
        <v>5</v>
      </c>
      <c r="P8" s="7" t="s">
        <v>37</v>
      </c>
      <c r="Q8" s="7" t="s">
        <v>4</v>
      </c>
    </row>
    <row r="9" spans="1:18" x14ac:dyDescent="0.25">
      <c r="A9" t="s">
        <v>15</v>
      </c>
      <c r="B9">
        <v>1944523</v>
      </c>
      <c r="D9">
        <v>45</v>
      </c>
      <c r="G9">
        <v>101</v>
      </c>
      <c r="H9">
        <v>123</v>
      </c>
      <c r="I9" t="s">
        <v>16</v>
      </c>
      <c r="J9">
        <v>95</v>
      </c>
      <c r="K9">
        <v>275</v>
      </c>
      <c r="L9" t="str">
        <f t="shared" ref="L9:L15" si="1">IF(K9:K1007&lt;=79,"sweet",IF(K9:K1007&lt;=120,"normal",IF(K9:K1007&lt;=250,"high",IF(K9:K1007&lt;=1000,"very high"))))</f>
        <v>very high</v>
      </c>
      <c r="O9" t="s">
        <v>967</v>
      </c>
      <c r="P9" s="7" t="s">
        <v>12</v>
      </c>
      <c r="Q9" s="7" t="s">
        <v>37</v>
      </c>
    </row>
    <row r="10" spans="1:18" x14ac:dyDescent="0.25">
      <c r="A10" t="s">
        <v>17</v>
      </c>
      <c r="B10">
        <v>1969876</v>
      </c>
      <c r="D10">
        <v>50</v>
      </c>
      <c r="G10">
        <v>98</v>
      </c>
      <c r="H10">
        <v>86</v>
      </c>
      <c r="I10" t="s">
        <v>18</v>
      </c>
      <c r="J10">
        <v>92</v>
      </c>
      <c r="K10">
        <v>353</v>
      </c>
      <c r="L10" t="str">
        <f t="shared" si="1"/>
        <v>very high</v>
      </c>
      <c r="O10" t="s">
        <v>967</v>
      </c>
      <c r="P10" s="7" t="s">
        <v>19</v>
      </c>
      <c r="Q10" s="7" t="s">
        <v>19</v>
      </c>
      <c r="R10" t="s">
        <v>41</v>
      </c>
    </row>
    <row r="11" spans="1:18" x14ac:dyDescent="0.25">
      <c r="A11" t="s">
        <v>20</v>
      </c>
      <c r="B11">
        <v>1969205</v>
      </c>
      <c r="D11">
        <v>65</v>
      </c>
      <c r="G11">
        <v>98</v>
      </c>
      <c r="H11">
        <v>90</v>
      </c>
      <c r="I11" t="s">
        <v>21</v>
      </c>
      <c r="J11">
        <v>72</v>
      </c>
      <c r="K11">
        <v>185</v>
      </c>
      <c r="L11" t="str">
        <f t="shared" si="1"/>
        <v>high</v>
      </c>
      <c r="P11" s="7" t="s">
        <v>19</v>
      </c>
      <c r="Q11" s="7" t="s">
        <v>19</v>
      </c>
    </row>
    <row r="12" spans="1:18" x14ac:dyDescent="0.25">
      <c r="A12" t="s">
        <v>23</v>
      </c>
      <c r="B12">
        <v>1963866</v>
      </c>
      <c r="D12">
        <v>76</v>
      </c>
      <c r="G12">
        <v>98</v>
      </c>
      <c r="H12">
        <v>90</v>
      </c>
      <c r="I12" t="s">
        <v>6</v>
      </c>
      <c r="J12">
        <v>99</v>
      </c>
      <c r="K12">
        <v>147</v>
      </c>
      <c r="L12" t="str">
        <f t="shared" si="1"/>
        <v>high</v>
      </c>
      <c r="P12" s="7" t="s">
        <v>22</v>
      </c>
      <c r="Q12" s="7" t="s">
        <v>19</v>
      </c>
    </row>
    <row r="13" spans="1:18" x14ac:dyDescent="0.25">
      <c r="A13" t="s">
        <v>24</v>
      </c>
      <c r="B13">
        <v>1969275</v>
      </c>
      <c r="D13">
        <v>16</v>
      </c>
      <c r="G13">
        <v>98.6</v>
      </c>
      <c r="H13">
        <v>174</v>
      </c>
      <c r="I13" t="s">
        <v>25</v>
      </c>
      <c r="J13">
        <v>90</v>
      </c>
      <c r="K13">
        <v>164</v>
      </c>
      <c r="L13" t="str">
        <f t="shared" si="1"/>
        <v>high</v>
      </c>
      <c r="P13" s="7" t="s">
        <v>19</v>
      </c>
      <c r="Q13" s="7" t="s">
        <v>19</v>
      </c>
    </row>
    <row r="14" spans="1:18" x14ac:dyDescent="0.25">
      <c r="A14" t="s">
        <v>26</v>
      </c>
      <c r="B14">
        <v>1969433</v>
      </c>
      <c r="D14">
        <v>18</v>
      </c>
      <c r="G14">
        <v>98</v>
      </c>
      <c r="H14">
        <v>94</v>
      </c>
      <c r="I14" t="s">
        <v>27</v>
      </c>
      <c r="J14">
        <v>80</v>
      </c>
      <c r="K14">
        <v>350</v>
      </c>
      <c r="L14" t="str">
        <f t="shared" si="1"/>
        <v>very high</v>
      </c>
      <c r="P14" s="7" t="s">
        <v>19</v>
      </c>
      <c r="Q14" s="7" t="s">
        <v>19</v>
      </c>
    </row>
    <row r="15" spans="1:18" x14ac:dyDescent="0.25">
      <c r="A15" t="s">
        <v>29</v>
      </c>
      <c r="B15">
        <v>14558818</v>
      </c>
      <c r="D15">
        <v>35</v>
      </c>
      <c r="G15">
        <v>98</v>
      </c>
      <c r="H15">
        <v>144</v>
      </c>
      <c r="I15" t="s">
        <v>28</v>
      </c>
      <c r="J15">
        <v>76</v>
      </c>
      <c r="K15">
        <v>80</v>
      </c>
      <c r="L15" t="str">
        <f t="shared" si="1"/>
        <v>normal</v>
      </c>
      <c r="P15" s="7" t="s">
        <v>19</v>
      </c>
      <c r="Q15" s="7" t="s">
        <v>19</v>
      </c>
    </row>
    <row r="16" spans="1:18" hidden="1" x14ac:dyDescent="0.25">
      <c r="A16" t="s">
        <v>30</v>
      </c>
      <c r="B16">
        <v>1972023</v>
      </c>
      <c r="D16">
        <v>50</v>
      </c>
      <c r="G16">
        <v>98</v>
      </c>
      <c r="H16">
        <v>100</v>
      </c>
      <c r="I16" t="s">
        <v>31</v>
      </c>
      <c r="J16">
        <v>94</v>
      </c>
      <c r="K16" t="s">
        <v>5</v>
      </c>
      <c r="P16" s="7" t="s">
        <v>19</v>
      </c>
      <c r="Q16" s="7" t="s">
        <v>19</v>
      </c>
      <c r="R16" t="s">
        <v>520</v>
      </c>
    </row>
    <row r="17" spans="1:18" x14ac:dyDescent="0.25">
      <c r="A17" t="s">
        <v>32</v>
      </c>
      <c r="B17">
        <v>14444420</v>
      </c>
      <c r="D17">
        <v>83</v>
      </c>
      <c r="G17">
        <v>98</v>
      </c>
      <c r="H17">
        <v>123</v>
      </c>
      <c r="I17" t="s">
        <v>268</v>
      </c>
      <c r="J17">
        <v>86</v>
      </c>
      <c r="K17">
        <v>246</v>
      </c>
      <c r="L17" t="str">
        <f t="shared" ref="L17:L22" si="2">IF(K17:K1015&lt;=79,"sweet",IF(K17:K1015&lt;=120,"normal",IF(K17:K1015&lt;=250,"high",IF(K17:K1015&lt;=1000,"very high"))))</f>
        <v>high</v>
      </c>
      <c r="P17" s="7" t="s">
        <v>12</v>
      </c>
      <c r="Q17" s="7" t="s">
        <v>4</v>
      </c>
      <c r="R17" t="s">
        <v>522</v>
      </c>
    </row>
    <row r="18" spans="1:18" x14ac:dyDescent="0.25">
      <c r="A18" t="s">
        <v>35</v>
      </c>
      <c r="B18">
        <v>14428684</v>
      </c>
      <c r="D18">
        <v>60</v>
      </c>
      <c r="G18">
        <v>99</v>
      </c>
      <c r="H18">
        <v>112</v>
      </c>
      <c r="I18" t="s">
        <v>34</v>
      </c>
      <c r="J18">
        <v>82</v>
      </c>
      <c r="K18">
        <v>177</v>
      </c>
      <c r="L18" t="str">
        <f t="shared" si="2"/>
        <v>high</v>
      </c>
      <c r="O18" t="s">
        <v>968</v>
      </c>
      <c r="P18" s="7" t="s">
        <v>33</v>
      </c>
      <c r="Q18" s="7" t="s">
        <v>4</v>
      </c>
      <c r="R18" t="s">
        <v>524</v>
      </c>
    </row>
    <row r="19" spans="1:18" x14ac:dyDescent="0.25">
      <c r="A19" t="s">
        <v>39</v>
      </c>
      <c r="B19">
        <v>1941289</v>
      </c>
      <c r="D19">
        <v>30</v>
      </c>
      <c r="G19">
        <v>103</v>
      </c>
      <c r="H19">
        <v>97</v>
      </c>
      <c r="I19" t="s">
        <v>40</v>
      </c>
      <c r="J19">
        <v>98</v>
      </c>
      <c r="K19">
        <v>317</v>
      </c>
      <c r="L19" t="str">
        <f t="shared" si="2"/>
        <v>very high</v>
      </c>
      <c r="O19" t="s">
        <v>967</v>
      </c>
      <c r="P19" s="7">
        <v>44877</v>
      </c>
      <c r="Q19" s="7">
        <v>44877</v>
      </c>
      <c r="R19" t="s">
        <v>41</v>
      </c>
    </row>
    <row r="20" spans="1:18" x14ac:dyDescent="0.25">
      <c r="A20" t="s">
        <v>42</v>
      </c>
      <c r="B20">
        <v>1942367</v>
      </c>
      <c r="D20">
        <v>71</v>
      </c>
      <c r="G20">
        <v>98</v>
      </c>
      <c r="H20">
        <v>144</v>
      </c>
      <c r="I20" t="s">
        <v>43</v>
      </c>
      <c r="J20">
        <v>85</v>
      </c>
      <c r="K20">
        <v>152</v>
      </c>
      <c r="L20" t="str">
        <f t="shared" si="2"/>
        <v>high</v>
      </c>
      <c r="P20" s="7">
        <v>44877</v>
      </c>
      <c r="Q20" s="7">
        <v>44877</v>
      </c>
    </row>
    <row r="21" spans="1:18" x14ac:dyDescent="0.25">
      <c r="A21" t="s">
        <v>44</v>
      </c>
      <c r="B21">
        <v>194110</v>
      </c>
      <c r="C21" t="s">
        <v>45</v>
      </c>
      <c r="D21">
        <v>81</v>
      </c>
      <c r="G21">
        <v>98</v>
      </c>
      <c r="H21">
        <v>123</v>
      </c>
      <c r="I21" t="s">
        <v>268</v>
      </c>
      <c r="J21">
        <v>92</v>
      </c>
      <c r="K21">
        <v>82</v>
      </c>
      <c r="L21" t="str">
        <f t="shared" si="2"/>
        <v>normal</v>
      </c>
      <c r="P21" s="7">
        <v>44877</v>
      </c>
      <c r="Q21" s="7">
        <v>44877</v>
      </c>
    </row>
    <row r="22" spans="1:18" x14ac:dyDescent="0.25">
      <c r="A22" t="s">
        <v>46</v>
      </c>
      <c r="B22">
        <v>1942434</v>
      </c>
      <c r="D22">
        <v>35</v>
      </c>
      <c r="G22">
        <v>105</v>
      </c>
      <c r="H22">
        <v>94</v>
      </c>
      <c r="I22" t="s">
        <v>47</v>
      </c>
      <c r="J22">
        <v>85</v>
      </c>
      <c r="K22">
        <v>273</v>
      </c>
      <c r="L22" t="str">
        <f t="shared" si="2"/>
        <v>very high</v>
      </c>
      <c r="O22" t="s">
        <v>967</v>
      </c>
      <c r="P22" s="7">
        <v>44877</v>
      </c>
      <c r="Q22" s="7">
        <v>44877</v>
      </c>
    </row>
    <row r="23" spans="1:18" hidden="1" x14ac:dyDescent="0.25">
      <c r="A23" t="s">
        <v>48</v>
      </c>
      <c r="B23">
        <v>1942570</v>
      </c>
      <c r="G23">
        <v>98</v>
      </c>
      <c r="H23">
        <v>99</v>
      </c>
      <c r="I23" t="s">
        <v>49</v>
      </c>
      <c r="J23">
        <v>99</v>
      </c>
      <c r="K23" t="s">
        <v>5</v>
      </c>
      <c r="P23" s="7">
        <v>44877</v>
      </c>
      <c r="Q23" s="7">
        <v>44877</v>
      </c>
    </row>
    <row r="24" spans="1:18" x14ac:dyDescent="0.25">
      <c r="A24" t="s">
        <v>50</v>
      </c>
      <c r="B24">
        <v>14358096</v>
      </c>
      <c r="D24">
        <v>74</v>
      </c>
      <c r="G24">
        <v>98</v>
      </c>
      <c r="H24">
        <v>176</v>
      </c>
      <c r="I24" t="s">
        <v>43</v>
      </c>
      <c r="J24">
        <v>70</v>
      </c>
      <c r="K24">
        <v>483</v>
      </c>
      <c r="L24" t="str">
        <f t="shared" ref="L24:L25" si="3">IF(K24:K1022&lt;=79,"sweet",IF(K24:K1022&lt;=120,"normal",IF(K24:K1022&lt;=250,"high",IF(K24:K1022&lt;=1000,"very high"))))</f>
        <v>very high</v>
      </c>
      <c r="N24" t="s">
        <v>974</v>
      </c>
      <c r="O24" t="s">
        <v>967</v>
      </c>
      <c r="P24" s="7">
        <v>44907</v>
      </c>
      <c r="Q24" s="7">
        <v>44907</v>
      </c>
      <c r="R24" t="s">
        <v>41</v>
      </c>
    </row>
    <row r="25" spans="1:18" x14ac:dyDescent="0.25">
      <c r="A25" t="s">
        <v>51</v>
      </c>
      <c r="B25">
        <v>14362249</v>
      </c>
      <c r="C25" t="s">
        <v>52</v>
      </c>
      <c r="D25">
        <v>63</v>
      </c>
      <c r="G25">
        <v>97</v>
      </c>
      <c r="H25">
        <v>79</v>
      </c>
      <c r="I25" t="s">
        <v>53</v>
      </c>
      <c r="J25">
        <v>77</v>
      </c>
      <c r="K25">
        <v>117</v>
      </c>
      <c r="L25" t="str">
        <f t="shared" si="3"/>
        <v>normal</v>
      </c>
      <c r="P25" s="7">
        <v>44907</v>
      </c>
      <c r="Q25" s="7">
        <v>44907</v>
      </c>
    </row>
    <row r="26" spans="1:18" hidden="1" x14ac:dyDescent="0.25">
      <c r="A26" t="s">
        <v>54</v>
      </c>
      <c r="B26">
        <v>1944729</v>
      </c>
      <c r="G26">
        <v>97</v>
      </c>
      <c r="H26">
        <v>60</v>
      </c>
      <c r="I26" t="s">
        <v>53</v>
      </c>
      <c r="J26">
        <v>58</v>
      </c>
      <c r="K26" t="s">
        <v>5</v>
      </c>
      <c r="P26" s="7">
        <v>44907</v>
      </c>
      <c r="Q26" s="7">
        <v>44907</v>
      </c>
    </row>
    <row r="27" spans="1:18" hidden="1" x14ac:dyDescent="0.25">
      <c r="A27" t="s">
        <v>55</v>
      </c>
      <c r="B27">
        <v>1946417</v>
      </c>
      <c r="D27">
        <v>20</v>
      </c>
      <c r="G27">
        <v>98</v>
      </c>
      <c r="H27">
        <v>62</v>
      </c>
      <c r="I27" t="s">
        <v>56</v>
      </c>
      <c r="J27">
        <v>70</v>
      </c>
      <c r="K27" t="s">
        <v>5</v>
      </c>
      <c r="P27" s="7">
        <v>44907</v>
      </c>
      <c r="Q27" s="7">
        <v>44907</v>
      </c>
    </row>
    <row r="28" spans="1:18" x14ac:dyDescent="0.25">
      <c r="A28" t="s">
        <v>58</v>
      </c>
      <c r="B28">
        <v>1946233</v>
      </c>
      <c r="D28">
        <v>40</v>
      </c>
      <c r="G28">
        <v>98</v>
      </c>
      <c r="H28">
        <v>103</v>
      </c>
      <c r="I28" t="s">
        <v>57</v>
      </c>
      <c r="J28">
        <v>78</v>
      </c>
      <c r="K28">
        <v>329</v>
      </c>
      <c r="L28" t="str">
        <f t="shared" ref="L28:L30" si="4">IF(K28:K1026&lt;=79,"sweet",IF(K28:K1026&lt;=120,"normal",IF(K28:K1026&lt;=250,"high",IF(K28:K1026&lt;=1000,"very high"))))</f>
        <v>very high</v>
      </c>
      <c r="O28" t="s">
        <v>968</v>
      </c>
      <c r="P28" s="7">
        <v>44907</v>
      </c>
      <c r="Q28" s="7">
        <v>44907</v>
      </c>
      <c r="R28" t="s">
        <v>41</v>
      </c>
    </row>
    <row r="29" spans="1:18" x14ac:dyDescent="0.25">
      <c r="A29" t="s">
        <v>32</v>
      </c>
      <c r="B29">
        <v>1946821</v>
      </c>
      <c r="D29">
        <v>87</v>
      </c>
      <c r="G29">
        <v>98</v>
      </c>
      <c r="H29">
        <v>67</v>
      </c>
      <c r="I29" t="s">
        <v>43</v>
      </c>
      <c r="J29">
        <v>79</v>
      </c>
      <c r="K29">
        <v>316</v>
      </c>
      <c r="L29" t="str">
        <f t="shared" si="4"/>
        <v>very high</v>
      </c>
      <c r="O29" t="s">
        <v>967</v>
      </c>
      <c r="P29" s="7" t="s">
        <v>59</v>
      </c>
      <c r="Q29" s="7" t="s">
        <v>59</v>
      </c>
      <c r="R29" t="s">
        <v>41</v>
      </c>
    </row>
    <row r="30" spans="1:18" x14ac:dyDescent="0.25">
      <c r="A30" t="s">
        <v>60</v>
      </c>
      <c r="B30">
        <v>14338134</v>
      </c>
      <c r="C30" t="s">
        <v>61</v>
      </c>
      <c r="D30">
        <v>86</v>
      </c>
      <c r="G30">
        <v>102</v>
      </c>
      <c r="H30">
        <v>60</v>
      </c>
      <c r="I30" t="s">
        <v>62</v>
      </c>
      <c r="J30">
        <v>82</v>
      </c>
      <c r="K30">
        <v>101</v>
      </c>
      <c r="L30" t="str">
        <f t="shared" si="4"/>
        <v>normal</v>
      </c>
      <c r="N30" t="s">
        <v>973</v>
      </c>
      <c r="P30" s="7">
        <v>44907</v>
      </c>
      <c r="Q30" s="7">
        <v>44907</v>
      </c>
      <c r="R30" t="s">
        <v>70</v>
      </c>
    </row>
    <row r="31" spans="1:18" hidden="1" x14ac:dyDescent="0.25">
      <c r="A31" t="s">
        <v>63</v>
      </c>
      <c r="B31">
        <v>1945870</v>
      </c>
      <c r="G31">
        <v>98</v>
      </c>
      <c r="H31">
        <v>70</v>
      </c>
      <c r="I31" t="s">
        <v>6</v>
      </c>
      <c r="J31">
        <v>71</v>
      </c>
      <c r="P31" s="7" t="s">
        <v>59</v>
      </c>
      <c r="Q31" s="7" t="s">
        <v>59</v>
      </c>
      <c r="R31" t="s">
        <v>71</v>
      </c>
    </row>
    <row r="32" spans="1:18" hidden="1" x14ac:dyDescent="0.25">
      <c r="A32" t="s">
        <v>64</v>
      </c>
      <c r="B32">
        <v>14369727</v>
      </c>
      <c r="C32" t="s">
        <v>65</v>
      </c>
      <c r="D32">
        <v>74</v>
      </c>
      <c r="G32">
        <v>98</v>
      </c>
      <c r="H32">
        <v>100</v>
      </c>
      <c r="I32" t="s">
        <v>66</v>
      </c>
      <c r="J32" t="s">
        <v>5</v>
      </c>
      <c r="K32">
        <v>69</v>
      </c>
      <c r="P32" s="7" t="s">
        <v>59</v>
      </c>
      <c r="Q32" s="7" t="s">
        <v>59</v>
      </c>
      <c r="R32" t="s">
        <v>71</v>
      </c>
    </row>
    <row r="33" spans="1:18" hidden="1" x14ac:dyDescent="0.25">
      <c r="A33" t="s">
        <v>67</v>
      </c>
      <c r="B33">
        <v>1949677</v>
      </c>
      <c r="G33">
        <v>98</v>
      </c>
      <c r="H33">
        <v>54</v>
      </c>
      <c r="I33" t="s">
        <v>68</v>
      </c>
      <c r="J33">
        <v>44</v>
      </c>
      <c r="K33" t="s">
        <v>5</v>
      </c>
      <c r="P33" s="7" t="s">
        <v>59</v>
      </c>
      <c r="Q33" s="7" t="s">
        <v>59</v>
      </c>
    </row>
    <row r="34" spans="1:18" x14ac:dyDescent="0.25">
      <c r="A34" t="s">
        <v>69</v>
      </c>
      <c r="B34">
        <v>1949142</v>
      </c>
      <c r="D34">
        <v>55</v>
      </c>
      <c r="G34">
        <v>88</v>
      </c>
      <c r="H34">
        <v>84</v>
      </c>
      <c r="I34" t="s">
        <v>53</v>
      </c>
      <c r="J34">
        <v>34</v>
      </c>
      <c r="K34">
        <v>504</v>
      </c>
      <c r="L34" t="str">
        <f>IF(K34:K1032&lt;=79,"sweet",IF(K34:K1032&lt;=120,"normal",IF(K34:K1032&lt;=250,"high",IF(K34:K1032&lt;=1000,"very high"))))</f>
        <v>very high</v>
      </c>
      <c r="P34" s="7" t="s">
        <v>59</v>
      </c>
      <c r="Q34" s="7" t="s">
        <v>59</v>
      </c>
      <c r="R34" t="s">
        <v>41</v>
      </c>
    </row>
    <row r="35" spans="1:18" hidden="1" x14ac:dyDescent="0.25">
      <c r="A35" t="s">
        <v>73</v>
      </c>
      <c r="B35">
        <v>1439116</v>
      </c>
      <c r="C35" t="s">
        <v>72</v>
      </c>
      <c r="D35">
        <v>45</v>
      </c>
      <c r="G35">
        <v>98</v>
      </c>
      <c r="H35" t="s">
        <v>5</v>
      </c>
      <c r="I35" t="s">
        <v>74</v>
      </c>
      <c r="J35">
        <v>88</v>
      </c>
      <c r="K35" t="s">
        <v>5</v>
      </c>
      <c r="P35" s="7" t="s">
        <v>59</v>
      </c>
      <c r="Q35" s="7" t="s">
        <v>59</v>
      </c>
      <c r="R35" t="s">
        <v>75</v>
      </c>
    </row>
    <row r="36" spans="1:18" x14ac:dyDescent="0.25">
      <c r="A36" t="s">
        <v>76</v>
      </c>
      <c r="B36">
        <v>1947374</v>
      </c>
      <c r="D36">
        <v>30</v>
      </c>
      <c r="G36">
        <v>98</v>
      </c>
      <c r="H36">
        <v>84</v>
      </c>
      <c r="I36" t="s">
        <v>77</v>
      </c>
      <c r="J36">
        <v>93</v>
      </c>
      <c r="K36">
        <v>125</v>
      </c>
      <c r="L36" t="str">
        <f t="shared" ref="L36:L42" si="5">IF(K36:K1034&lt;=79,"sweet",IF(K36:K1034&lt;=120,"normal",IF(K36:K1034&lt;=250,"high",IF(K36:K1034&lt;=1000,"very high"))))</f>
        <v>high</v>
      </c>
      <c r="P36" s="7" t="s">
        <v>59</v>
      </c>
      <c r="Q36" s="7" t="s">
        <v>33</v>
      </c>
    </row>
    <row r="37" spans="1:18" x14ac:dyDescent="0.25">
      <c r="A37" t="s">
        <v>78</v>
      </c>
      <c r="B37">
        <v>1949935</v>
      </c>
      <c r="C37" t="s">
        <v>80</v>
      </c>
      <c r="D37">
        <v>65</v>
      </c>
      <c r="G37">
        <v>98</v>
      </c>
      <c r="H37">
        <v>90</v>
      </c>
      <c r="I37" t="s">
        <v>79</v>
      </c>
      <c r="J37">
        <v>98</v>
      </c>
      <c r="K37">
        <v>80</v>
      </c>
      <c r="L37" t="str">
        <f t="shared" si="5"/>
        <v>normal</v>
      </c>
      <c r="O37" t="s">
        <v>977</v>
      </c>
      <c r="P37" s="7" t="s">
        <v>33</v>
      </c>
      <c r="Q37" s="7" t="s">
        <v>33</v>
      </c>
    </row>
    <row r="38" spans="1:18" x14ac:dyDescent="0.25">
      <c r="A38" t="s">
        <v>81</v>
      </c>
      <c r="B38">
        <v>1949765</v>
      </c>
      <c r="C38" t="s">
        <v>82</v>
      </c>
      <c r="D38">
        <v>32</v>
      </c>
      <c r="G38">
        <v>93</v>
      </c>
      <c r="H38">
        <v>90</v>
      </c>
      <c r="I38" t="s">
        <v>83</v>
      </c>
      <c r="J38">
        <v>92</v>
      </c>
      <c r="K38">
        <v>90</v>
      </c>
      <c r="L38" t="str">
        <f t="shared" si="5"/>
        <v>normal</v>
      </c>
      <c r="P38" s="7" t="s">
        <v>59</v>
      </c>
      <c r="Q38" s="7" t="s">
        <v>33</v>
      </c>
    </row>
    <row r="39" spans="1:18" x14ac:dyDescent="0.25">
      <c r="A39" t="s">
        <v>84</v>
      </c>
      <c r="B39">
        <v>1949941</v>
      </c>
      <c r="C39" t="s">
        <v>85</v>
      </c>
      <c r="D39">
        <v>22</v>
      </c>
      <c r="G39">
        <v>98</v>
      </c>
      <c r="H39">
        <v>40</v>
      </c>
      <c r="I39" t="s">
        <v>79</v>
      </c>
      <c r="J39">
        <v>35</v>
      </c>
      <c r="K39">
        <v>96</v>
      </c>
      <c r="L39" t="str">
        <f t="shared" si="5"/>
        <v>normal</v>
      </c>
      <c r="P39" s="7" t="s">
        <v>33</v>
      </c>
      <c r="Q39" s="7" t="s">
        <v>33</v>
      </c>
      <c r="R39" t="s">
        <v>86</v>
      </c>
    </row>
    <row r="40" spans="1:18" x14ac:dyDescent="0.25">
      <c r="A40" t="s">
        <v>87</v>
      </c>
      <c r="B40">
        <v>14399247</v>
      </c>
      <c r="C40" t="s">
        <v>88</v>
      </c>
      <c r="D40">
        <v>48</v>
      </c>
      <c r="G40">
        <v>98</v>
      </c>
      <c r="H40">
        <v>122</v>
      </c>
      <c r="I40" t="s">
        <v>89</v>
      </c>
      <c r="J40">
        <v>98</v>
      </c>
      <c r="K40">
        <v>113</v>
      </c>
      <c r="L40" t="str">
        <f t="shared" si="5"/>
        <v>normal</v>
      </c>
      <c r="O40" t="s">
        <v>977</v>
      </c>
      <c r="P40" s="7" t="s">
        <v>33</v>
      </c>
      <c r="Q40" s="7" t="s">
        <v>33</v>
      </c>
    </row>
    <row r="41" spans="1:18" x14ac:dyDescent="0.25">
      <c r="A41" t="s">
        <v>90</v>
      </c>
      <c r="B41">
        <v>1951815</v>
      </c>
      <c r="D41">
        <v>35</v>
      </c>
      <c r="G41">
        <v>98</v>
      </c>
      <c r="H41">
        <v>96</v>
      </c>
      <c r="I41" t="s">
        <v>53</v>
      </c>
      <c r="J41">
        <v>92</v>
      </c>
      <c r="K41">
        <v>439</v>
      </c>
      <c r="L41" t="str">
        <f t="shared" si="5"/>
        <v>very high</v>
      </c>
      <c r="N41" t="s">
        <v>974</v>
      </c>
      <c r="O41" t="s">
        <v>968</v>
      </c>
      <c r="P41" s="7" t="s">
        <v>33</v>
      </c>
      <c r="Q41" s="7" t="s">
        <v>33</v>
      </c>
      <c r="R41" t="s">
        <v>41</v>
      </c>
    </row>
    <row r="42" spans="1:18" x14ac:dyDescent="0.25">
      <c r="A42" t="s">
        <v>91</v>
      </c>
      <c r="D42">
        <v>55</v>
      </c>
      <c r="G42">
        <v>96</v>
      </c>
      <c r="H42">
        <v>90</v>
      </c>
      <c r="I42" t="s">
        <v>92</v>
      </c>
      <c r="J42">
        <v>86</v>
      </c>
      <c r="K42">
        <v>80</v>
      </c>
      <c r="L42" t="str">
        <f t="shared" si="5"/>
        <v>normal</v>
      </c>
      <c r="P42" s="7" t="s">
        <v>33</v>
      </c>
      <c r="Q42" s="7" t="s">
        <v>33</v>
      </c>
    </row>
    <row r="43" spans="1:18" hidden="1" x14ac:dyDescent="0.25">
      <c r="A43" t="s">
        <v>93</v>
      </c>
      <c r="B43">
        <v>1950669</v>
      </c>
      <c r="D43">
        <v>20</v>
      </c>
      <c r="G43">
        <v>98</v>
      </c>
      <c r="H43" t="s">
        <v>5</v>
      </c>
      <c r="I43" t="s">
        <v>94</v>
      </c>
      <c r="J43">
        <v>72</v>
      </c>
      <c r="P43" s="7" t="s">
        <v>33</v>
      </c>
      <c r="Q43" s="7" t="s">
        <v>33</v>
      </c>
    </row>
    <row r="44" spans="1:18" hidden="1" x14ac:dyDescent="0.25">
      <c r="A44" t="s">
        <v>95</v>
      </c>
      <c r="B44">
        <v>1951996</v>
      </c>
      <c r="D44">
        <v>60</v>
      </c>
      <c r="G44">
        <v>98</v>
      </c>
      <c r="H44">
        <v>140</v>
      </c>
      <c r="I44" t="s">
        <v>96</v>
      </c>
      <c r="J44">
        <v>90</v>
      </c>
      <c r="K44" t="s">
        <v>5</v>
      </c>
      <c r="P44" s="7" t="s">
        <v>33</v>
      </c>
      <c r="Q44" s="7" t="s">
        <v>33</v>
      </c>
    </row>
    <row r="45" spans="1:18" x14ac:dyDescent="0.25">
      <c r="A45" t="s">
        <v>97</v>
      </c>
      <c r="B45">
        <v>1952611</v>
      </c>
      <c r="D45">
        <v>55</v>
      </c>
      <c r="G45">
        <v>98</v>
      </c>
      <c r="H45">
        <v>130</v>
      </c>
      <c r="I45" t="s">
        <v>98</v>
      </c>
      <c r="J45">
        <v>95</v>
      </c>
      <c r="K45">
        <v>255</v>
      </c>
      <c r="L45" t="str">
        <f>IF(K45:K1043&lt;=79,"sweet",IF(K45:K1043&lt;=120,"normal",IF(K45:K1043&lt;=250,"high",IF(K45:K1043&lt;=1000,"very high"))))</f>
        <v>very high</v>
      </c>
      <c r="P45" s="7" t="s">
        <v>33</v>
      </c>
      <c r="Q45" s="7" t="s">
        <v>33</v>
      </c>
    </row>
    <row r="46" spans="1:18" hidden="1" x14ac:dyDescent="0.25">
      <c r="A46" t="s">
        <v>99</v>
      </c>
      <c r="B46">
        <v>1953883</v>
      </c>
      <c r="D46">
        <v>65</v>
      </c>
      <c r="G46">
        <v>98</v>
      </c>
      <c r="H46" t="s">
        <v>5</v>
      </c>
      <c r="I46" t="s">
        <v>100</v>
      </c>
      <c r="J46" t="s">
        <v>5</v>
      </c>
      <c r="K46" t="s">
        <v>5</v>
      </c>
      <c r="P46" s="7" t="s">
        <v>12</v>
      </c>
      <c r="Q46" s="7" t="s">
        <v>12</v>
      </c>
    </row>
    <row r="47" spans="1:18" x14ac:dyDescent="0.25">
      <c r="A47" t="s">
        <v>101</v>
      </c>
      <c r="B47">
        <v>1952977</v>
      </c>
      <c r="D47">
        <v>15</v>
      </c>
      <c r="G47">
        <v>98</v>
      </c>
      <c r="H47">
        <v>126</v>
      </c>
      <c r="I47" t="s">
        <v>92</v>
      </c>
      <c r="J47">
        <v>98</v>
      </c>
      <c r="K47">
        <v>321</v>
      </c>
      <c r="L47" t="str">
        <f>IF(K47:K1045&lt;=79,"sweet",IF(K47:K1045&lt;=120,"normal",IF(K47:K1045&lt;=250,"high",IF(K47:K1045&lt;=1000,"very high"))))</f>
        <v>very high</v>
      </c>
      <c r="P47" s="7" t="s">
        <v>12</v>
      </c>
      <c r="Q47" s="7" t="s">
        <v>12</v>
      </c>
    </row>
    <row r="48" spans="1:18" hidden="1" x14ac:dyDescent="0.25">
      <c r="A48" t="s">
        <v>102</v>
      </c>
      <c r="B48">
        <v>1953731</v>
      </c>
      <c r="C48" t="s">
        <v>103</v>
      </c>
      <c r="D48">
        <v>81</v>
      </c>
      <c r="G48">
        <v>98</v>
      </c>
      <c r="H48">
        <v>70</v>
      </c>
      <c r="I48" t="s">
        <v>47</v>
      </c>
      <c r="J48">
        <v>92</v>
      </c>
      <c r="K48" t="s">
        <v>5</v>
      </c>
      <c r="P48" s="7" t="s">
        <v>12</v>
      </c>
      <c r="Q48" s="7" t="s">
        <v>12</v>
      </c>
    </row>
    <row r="49" spans="1:18" x14ac:dyDescent="0.25">
      <c r="A49" t="s">
        <v>104</v>
      </c>
      <c r="B49">
        <v>1953720</v>
      </c>
      <c r="D49">
        <v>30</v>
      </c>
      <c r="G49">
        <v>98</v>
      </c>
      <c r="H49">
        <v>130</v>
      </c>
      <c r="I49" t="s">
        <v>53</v>
      </c>
      <c r="J49">
        <v>35</v>
      </c>
      <c r="K49">
        <v>459</v>
      </c>
      <c r="L49" t="str">
        <f t="shared" ref="L49:L50" si="6">IF(K49:K1047&lt;=79,"sweet",IF(K49:K1047&lt;=120,"normal",IF(K49:K1047&lt;=250,"high",IF(K49:K1047&lt;=1000,"very high"))))</f>
        <v>very high</v>
      </c>
      <c r="O49" t="s">
        <v>967</v>
      </c>
      <c r="P49" s="7" t="s">
        <v>12</v>
      </c>
      <c r="Q49" s="7" t="s">
        <v>12</v>
      </c>
    </row>
    <row r="50" spans="1:18" x14ac:dyDescent="0.25">
      <c r="A50" t="s">
        <v>105</v>
      </c>
      <c r="B50">
        <v>14438223</v>
      </c>
      <c r="C50" t="s">
        <v>106</v>
      </c>
      <c r="D50">
        <v>85</v>
      </c>
      <c r="G50">
        <v>98</v>
      </c>
      <c r="H50">
        <v>95</v>
      </c>
      <c r="I50" t="s">
        <v>107</v>
      </c>
      <c r="J50">
        <v>98</v>
      </c>
      <c r="K50">
        <v>104</v>
      </c>
      <c r="L50" t="str">
        <f t="shared" si="6"/>
        <v>normal</v>
      </c>
      <c r="P50" s="7" t="s">
        <v>12</v>
      </c>
      <c r="Q50" s="7" t="s">
        <v>12</v>
      </c>
    </row>
    <row r="51" spans="1:18" hidden="1" x14ac:dyDescent="0.25">
      <c r="A51" t="s">
        <v>108</v>
      </c>
      <c r="B51">
        <v>14439162</v>
      </c>
      <c r="C51" t="s">
        <v>109</v>
      </c>
      <c r="D51">
        <v>63</v>
      </c>
      <c r="G51">
        <v>98</v>
      </c>
      <c r="H51" t="s">
        <v>5</v>
      </c>
      <c r="I51" t="s">
        <v>110</v>
      </c>
      <c r="J51">
        <v>90</v>
      </c>
      <c r="K51">
        <v>34</v>
      </c>
      <c r="P51" s="7" t="s">
        <v>12</v>
      </c>
      <c r="Q51" s="7" t="s">
        <v>12</v>
      </c>
    </row>
    <row r="52" spans="1:18" x14ac:dyDescent="0.25">
      <c r="A52" t="s">
        <v>113</v>
      </c>
      <c r="B52">
        <v>210003747019</v>
      </c>
      <c r="D52">
        <v>30</v>
      </c>
      <c r="G52">
        <v>98</v>
      </c>
      <c r="H52">
        <v>30</v>
      </c>
      <c r="I52" t="s">
        <v>111</v>
      </c>
      <c r="J52">
        <v>98</v>
      </c>
      <c r="K52">
        <v>201</v>
      </c>
      <c r="L52" t="str">
        <f>IF(K52:K1050&lt;=79,"sweet",IF(K52:K1050&lt;=120,"normal",IF(K52:K1050&lt;=250,"high",IF(K52:K1050&lt;=1000,"very high"))))</f>
        <v>high</v>
      </c>
      <c r="O52" t="s">
        <v>967</v>
      </c>
      <c r="P52" s="7" t="s">
        <v>112</v>
      </c>
      <c r="Q52" s="7" t="s">
        <v>112</v>
      </c>
      <c r="R52" s="2" t="s">
        <v>86</v>
      </c>
    </row>
    <row r="53" spans="1:18" hidden="1" x14ac:dyDescent="0.25">
      <c r="A53" t="s">
        <v>116</v>
      </c>
      <c r="B53">
        <v>272346</v>
      </c>
      <c r="D53">
        <v>28</v>
      </c>
      <c r="G53">
        <v>98</v>
      </c>
      <c r="H53">
        <v>113</v>
      </c>
      <c r="I53" t="s">
        <v>115</v>
      </c>
      <c r="J53">
        <v>92</v>
      </c>
      <c r="P53" s="7" t="s">
        <v>126</v>
      </c>
      <c r="Q53" s="7" t="s">
        <v>126</v>
      </c>
      <c r="R53" t="s">
        <v>114</v>
      </c>
    </row>
    <row r="54" spans="1:18" x14ac:dyDescent="0.25">
      <c r="A54" t="s">
        <v>117</v>
      </c>
      <c r="B54">
        <v>274437</v>
      </c>
      <c r="D54">
        <v>60</v>
      </c>
      <c r="G54">
        <v>98</v>
      </c>
      <c r="H54">
        <v>79</v>
      </c>
      <c r="I54" t="s">
        <v>6</v>
      </c>
      <c r="J54">
        <v>35</v>
      </c>
      <c r="K54">
        <v>455</v>
      </c>
      <c r="L54" t="str">
        <f>IF(K54:K1052&lt;=79,"sweet",IF(K54:K1052&lt;=120,"normal",IF(K54:K1052&lt;=250,"high",IF(K54:K1052&lt;=1000,"very high"))))</f>
        <v>very high</v>
      </c>
      <c r="O54" t="s">
        <v>967</v>
      </c>
      <c r="P54" s="7" t="s">
        <v>126</v>
      </c>
      <c r="Q54" s="7" t="s">
        <v>126</v>
      </c>
    </row>
    <row r="55" spans="1:18" hidden="1" x14ac:dyDescent="0.25">
      <c r="A55" t="s">
        <v>118</v>
      </c>
      <c r="B55">
        <v>275521</v>
      </c>
      <c r="D55">
        <v>73</v>
      </c>
      <c r="G55">
        <v>98</v>
      </c>
      <c r="H55">
        <v>103</v>
      </c>
      <c r="I55" t="s">
        <v>119</v>
      </c>
      <c r="J55">
        <v>98</v>
      </c>
      <c r="K55" t="s">
        <v>5</v>
      </c>
      <c r="P55" s="7" t="s">
        <v>126</v>
      </c>
      <c r="Q55" s="7" t="s">
        <v>125</v>
      </c>
    </row>
    <row r="56" spans="1:18" hidden="1" x14ac:dyDescent="0.25">
      <c r="A56" t="s">
        <v>121</v>
      </c>
      <c r="B56">
        <v>224598</v>
      </c>
      <c r="D56">
        <v>65</v>
      </c>
      <c r="G56">
        <v>98</v>
      </c>
      <c r="H56">
        <v>110</v>
      </c>
      <c r="I56" t="s">
        <v>120</v>
      </c>
      <c r="K56">
        <v>79</v>
      </c>
      <c r="P56" s="7" t="s">
        <v>126</v>
      </c>
      <c r="Q56" s="7" t="s">
        <v>125</v>
      </c>
    </row>
    <row r="57" spans="1:18" x14ac:dyDescent="0.25">
      <c r="A57" t="s">
        <v>122</v>
      </c>
      <c r="B57">
        <v>274969</v>
      </c>
      <c r="D57">
        <v>60</v>
      </c>
      <c r="G57">
        <v>98</v>
      </c>
      <c r="H57">
        <v>91</v>
      </c>
      <c r="I57" t="s">
        <v>123</v>
      </c>
      <c r="J57">
        <v>90</v>
      </c>
      <c r="K57">
        <v>204</v>
      </c>
      <c r="L57" t="str">
        <f>IF(K57:K1055&lt;=79,"sweet",IF(K57:K1055&lt;=120,"normal",IF(K57:K1055&lt;=250,"high",IF(K57:K1055&lt;=1000,"very high"))))</f>
        <v>high</v>
      </c>
      <c r="O57" t="s">
        <v>968</v>
      </c>
      <c r="P57" s="7" t="s">
        <v>126</v>
      </c>
      <c r="Q57" s="7" t="s">
        <v>125</v>
      </c>
    </row>
    <row r="58" spans="1:18" hidden="1" x14ac:dyDescent="0.25">
      <c r="A58" t="s">
        <v>121</v>
      </c>
      <c r="B58">
        <v>276949</v>
      </c>
      <c r="D58">
        <v>75</v>
      </c>
      <c r="G58">
        <v>98</v>
      </c>
      <c r="H58">
        <v>79</v>
      </c>
      <c r="I58" t="s">
        <v>124</v>
      </c>
      <c r="J58">
        <v>55</v>
      </c>
      <c r="K58" t="s">
        <v>5</v>
      </c>
      <c r="P58" s="7" t="s">
        <v>125</v>
      </c>
      <c r="Q58" s="7" t="s">
        <v>125</v>
      </c>
    </row>
    <row r="59" spans="1:18" x14ac:dyDescent="0.25">
      <c r="A59" t="s">
        <v>127</v>
      </c>
      <c r="B59">
        <v>278476</v>
      </c>
      <c r="D59">
        <v>45</v>
      </c>
      <c r="G59">
        <v>98</v>
      </c>
      <c r="H59">
        <v>67</v>
      </c>
      <c r="I59" t="s">
        <v>62</v>
      </c>
      <c r="J59">
        <v>37</v>
      </c>
      <c r="K59">
        <v>335</v>
      </c>
      <c r="L59" t="str">
        <f t="shared" ref="L59:L68" si="7">IF(K59:K1057&lt;=79,"sweet",IF(K59:K1057&lt;=120,"normal",IF(K59:K1057&lt;=250,"high",IF(K59:K1057&lt;=1000,"very high"))))</f>
        <v>very high</v>
      </c>
      <c r="O59" t="s">
        <v>967</v>
      </c>
      <c r="P59" s="7" t="s">
        <v>128</v>
      </c>
      <c r="Q59" s="7" t="s">
        <v>128</v>
      </c>
    </row>
    <row r="60" spans="1:18" x14ac:dyDescent="0.25">
      <c r="A60" t="s">
        <v>129</v>
      </c>
      <c r="B60">
        <v>279733</v>
      </c>
      <c r="D60">
        <v>14</v>
      </c>
      <c r="G60">
        <v>98</v>
      </c>
      <c r="H60">
        <v>155</v>
      </c>
      <c r="I60" t="s">
        <v>130</v>
      </c>
      <c r="J60">
        <v>87</v>
      </c>
      <c r="K60">
        <v>298</v>
      </c>
      <c r="L60" t="str">
        <f t="shared" si="7"/>
        <v>very high</v>
      </c>
      <c r="O60" t="s">
        <v>967</v>
      </c>
      <c r="P60" s="7" t="s">
        <v>131</v>
      </c>
      <c r="Q60" s="7" t="s">
        <v>131</v>
      </c>
    </row>
    <row r="61" spans="1:18" x14ac:dyDescent="0.25">
      <c r="A61" t="s">
        <v>132</v>
      </c>
      <c r="B61">
        <v>279767</v>
      </c>
      <c r="D61">
        <v>48</v>
      </c>
      <c r="G61">
        <v>95</v>
      </c>
      <c r="H61">
        <v>90</v>
      </c>
      <c r="I61" t="s">
        <v>62</v>
      </c>
      <c r="J61">
        <v>98</v>
      </c>
      <c r="K61">
        <v>179</v>
      </c>
      <c r="L61" t="str">
        <f t="shared" si="7"/>
        <v>high</v>
      </c>
      <c r="P61" s="7" t="s">
        <v>131</v>
      </c>
      <c r="Q61" s="7" t="s">
        <v>131</v>
      </c>
    </row>
    <row r="62" spans="1:18" x14ac:dyDescent="0.25">
      <c r="A62" t="s">
        <v>117</v>
      </c>
      <c r="B62">
        <v>283065</v>
      </c>
      <c r="D62">
        <v>50</v>
      </c>
      <c r="G62">
        <v>100</v>
      </c>
      <c r="H62">
        <v>78</v>
      </c>
      <c r="I62" t="s">
        <v>96</v>
      </c>
      <c r="J62">
        <v>92</v>
      </c>
      <c r="K62">
        <v>125</v>
      </c>
      <c r="L62" t="str">
        <f t="shared" si="7"/>
        <v>high</v>
      </c>
      <c r="P62" s="7" t="s">
        <v>133</v>
      </c>
      <c r="Q62" s="7" t="s">
        <v>133</v>
      </c>
    </row>
    <row r="63" spans="1:18" x14ac:dyDescent="0.25">
      <c r="A63" t="s">
        <v>134</v>
      </c>
      <c r="B63">
        <v>283855</v>
      </c>
      <c r="D63">
        <v>80</v>
      </c>
      <c r="G63">
        <v>98</v>
      </c>
      <c r="H63">
        <v>96</v>
      </c>
      <c r="I63" t="s">
        <v>6</v>
      </c>
      <c r="J63">
        <v>35</v>
      </c>
      <c r="K63">
        <v>290</v>
      </c>
      <c r="L63" t="str">
        <f t="shared" si="7"/>
        <v>very high</v>
      </c>
      <c r="P63" s="7" t="s">
        <v>133</v>
      </c>
      <c r="Q63" s="7" t="s">
        <v>133</v>
      </c>
    </row>
    <row r="64" spans="1:18" x14ac:dyDescent="0.25">
      <c r="A64" t="s">
        <v>135</v>
      </c>
      <c r="B64">
        <v>278562</v>
      </c>
      <c r="D64">
        <v>60</v>
      </c>
      <c r="G64">
        <v>98</v>
      </c>
      <c r="H64">
        <v>132</v>
      </c>
      <c r="I64" t="s">
        <v>136</v>
      </c>
      <c r="J64">
        <v>98</v>
      </c>
      <c r="K64">
        <v>168</v>
      </c>
      <c r="L64" t="str">
        <f t="shared" si="7"/>
        <v>high</v>
      </c>
      <c r="P64" s="7" t="s">
        <v>128</v>
      </c>
      <c r="Q64" s="7" t="s">
        <v>133</v>
      </c>
    </row>
    <row r="65" spans="1:17" x14ac:dyDescent="0.25">
      <c r="A65" t="s">
        <v>137</v>
      </c>
      <c r="B65">
        <v>282533</v>
      </c>
      <c r="D65">
        <v>50</v>
      </c>
      <c r="G65">
        <v>98</v>
      </c>
      <c r="H65">
        <v>88</v>
      </c>
      <c r="I65" t="s">
        <v>94</v>
      </c>
      <c r="J65">
        <v>98</v>
      </c>
      <c r="K65">
        <v>88</v>
      </c>
      <c r="L65" t="str">
        <f t="shared" si="7"/>
        <v>normal</v>
      </c>
      <c r="O65" t="s">
        <v>977</v>
      </c>
      <c r="P65" s="7" t="s">
        <v>133</v>
      </c>
      <c r="Q65" s="7" t="s">
        <v>133</v>
      </c>
    </row>
    <row r="66" spans="1:17" x14ac:dyDescent="0.25">
      <c r="A66" t="s">
        <v>138</v>
      </c>
      <c r="B66">
        <v>280211</v>
      </c>
      <c r="D66">
        <v>50</v>
      </c>
      <c r="G66">
        <v>98</v>
      </c>
      <c r="H66">
        <v>78</v>
      </c>
      <c r="I66" t="s">
        <v>18</v>
      </c>
      <c r="J66">
        <v>92</v>
      </c>
      <c r="K66">
        <v>130</v>
      </c>
      <c r="L66" t="str">
        <f t="shared" si="7"/>
        <v>high</v>
      </c>
      <c r="P66" s="7" t="s">
        <v>131</v>
      </c>
      <c r="Q66" s="7" t="s">
        <v>131</v>
      </c>
    </row>
    <row r="67" spans="1:17" x14ac:dyDescent="0.25">
      <c r="A67" t="s">
        <v>139</v>
      </c>
      <c r="B67">
        <v>281352</v>
      </c>
      <c r="D67">
        <v>50</v>
      </c>
      <c r="G67">
        <v>98</v>
      </c>
      <c r="H67">
        <v>124</v>
      </c>
      <c r="I67" t="s">
        <v>96</v>
      </c>
      <c r="J67">
        <v>35</v>
      </c>
      <c r="K67">
        <v>197</v>
      </c>
      <c r="L67" t="str">
        <f t="shared" si="7"/>
        <v>high</v>
      </c>
      <c r="P67" s="7" t="s">
        <v>131</v>
      </c>
      <c r="Q67" s="7" t="s">
        <v>131</v>
      </c>
    </row>
    <row r="68" spans="1:17" x14ac:dyDescent="0.25">
      <c r="A68" t="s">
        <v>140</v>
      </c>
      <c r="B68">
        <v>284213</v>
      </c>
      <c r="D68">
        <v>50</v>
      </c>
      <c r="G68">
        <v>98</v>
      </c>
      <c r="H68">
        <v>80</v>
      </c>
      <c r="I68" t="s">
        <v>74</v>
      </c>
      <c r="J68">
        <v>98</v>
      </c>
      <c r="K68">
        <v>161</v>
      </c>
      <c r="L68" t="str">
        <f t="shared" si="7"/>
        <v>high</v>
      </c>
      <c r="P68" s="7" t="s">
        <v>142</v>
      </c>
      <c r="Q68" s="7" t="s">
        <v>142</v>
      </c>
    </row>
    <row r="69" spans="1:17" hidden="1" x14ac:dyDescent="0.25">
      <c r="A69" t="s">
        <v>141</v>
      </c>
      <c r="B69">
        <v>284573</v>
      </c>
      <c r="D69">
        <v>65</v>
      </c>
      <c r="G69">
        <v>98</v>
      </c>
      <c r="H69" t="s">
        <v>5</v>
      </c>
      <c r="I69" t="s">
        <v>62</v>
      </c>
      <c r="J69">
        <v>95</v>
      </c>
      <c r="K69" t="s">
        <v>5</v>
      </c>
      <c r="P69" s="7" t="s">
        <v>142</v>
      </c>
      <c r="Q69" s="7" t="s">
        <v>142</v>
      </c>
    </row>
    <row r="70" spans="1:17" x14ac:dyDescent="0.25">
      <c r="A70" t="s">
        <v>143</v>
      </c>
      <c r="B70">
        <v>298611</v>
      </c>
      <c r="D70">
        <v>90</v>
      </c>
      <c r="G70">
        <v>98</v>
      </c>
      <c r="H70">
        <v>79</v>
      </c>
      <c r="I70" t="s">
        <v>40</v>
      </c>
      <c r="J70">
        <v>76</v>
      </c>
      <c r="K70">
        <v>231</v>
      </c>
      <c r="L70" t="str">
        <f>IF(K70:K1068&lt;=79,"sweet",IF(K70:K1068&lt;=120,"normal",IF(K70:K1068&lt;=250,"high",IF(K70:K1068&lt;=1000,"very high"))))</f>
        <v>high</v>
      </c>
      <c r="P70" s="7" t="s">
        <v>142</v>
      </c>
      <c r="Q70" s="7" t="s">
        <v>142</v>
      </c>
    </row>
    <row r="71" spans="1:17" hidden="1" x14ac:dyDescent="0.25">
      <c r="A71" t="s">
        <v>144</v>
      </c>
      <c r="B71">
        <v>283929</v>
      </c>
      <c r="D71">
        <v>50</v>
      </c>
      <c r="G71">
        <v>98</v>
      </c>
      <c r="H71">
        <v>107</v>
      </c>
      <c r="I71" t="s">
        <v>145</v>
      </c>
      <c r="J71">
        <v>99</v>
      </c>
      <c r="K71" t="s">
        <v>5</v>
      </c>
      <c r="P71" s="7" t="s">
        <v>142</v>
      </c>
      <c r="Q71" s="7" t="s">
        <v>142</v>
      </c>
    </row>
    <row r="72" spans="1:17" x14ac:dyDescent="0.25">
      <c r="A72" t="s">
        <v>146</v>
      </c>
      <c r="B72">
        <v>284853</v>
      </c>
      <c r="D72">
        <v>71</v>
      </c>
      <c r="G72">
        <v>98</v>
      </c>
      <c r="H72">
        <v>97</v>
      </c>
      <c r="I72" t="s">
        <v>62</v>
      </c>
      <c r="J72">
        <v>77</v>
      </c>
      <c r="K72">
        <v>170</v>
      </c>
      <c r="L72" t="str">
        <f>IF(K72:K1070&lt;=79,"sweet",IF(K72:K1070&lt;=120,"normal",IF(K72:K1070&lt;=250,"high",IF(K72:K1070&lt;=1000,"very high"))))</f>
        <v>high</v>
      </c>
      <c r="P72" s="7" t="s">
        <v>142</v>
      </c>
      <c r="Q72" s="7" t="s">
        <v>147</v>
      </c>
    </row>
    <row r="73" spans="1:17" hidden="1" x14ac:dyDescent="0.25">
      <c r="A73" t="s">
        <v>148</v>
      </c>
      <c r="B73">
        <v>285824</v>
      </c>
      <c r="D73">
        <v>60</v>
      </c>
      <c r="G73">
        <v>98</v>
      </c>
      <c r="H73">
        <v>78</v>
      </c>
      <c r="I73" t="s">
        <v>53</v>
      </c>
      <c r="P73" s="7" t="s">
        <v>142</v>
      </c>
      <c r="Q73" s="7" t="s">
        <v>147</v>
      </c>
    </row>
    <row r="74" spans="1:17" x14ac:dyDescent="0.25">
      <c r="A74" t="s">
        <v>149</v>
      </c>
      <c r="B74">
        <v>286353</v>
      </c>
      <c r="D74">
        <v>22</v>
      </c>
      <c r="G74">
        <v>98</v>
      </c>
      <c r="H74">
        <v>80</v>
      </c>
      <c r="I74" t="s">
        <v>49</v>
      </c>
      <c r="J74">
        <v>90</v>
      </c>
      <c r="K74">
        <v>128</v>
      </c>
      <c r="L74" t="str">
        <f t="shared" ref="L74:L77" si="8">IF(K74:K1072&lt;=79,"sweet",IF(K74:K1072&lt;=120,"normal",IF(K74:K1072&lt;=250,"high",IF(K74:K1072&lt;=1000,"very high"))))</f>
        <v>high</v>
      </c>
      <c r="P74" s="7" t="s">
        <v>142</v>
      </c>
      <c r="Q74" s="7" t="s">
        <v>147</v>
      </c>
    </row>
    <row r="75" spans="1:17" x14ac:dyDescent="0.25">
      <c r="A75" t="s">
        <v>150</v>
      </c>
      <c r="B75">
        <v>285218</v>
      </c>
      <c r="D75">
        <v>78</v>
      </c>
      <c r="G75">
        <v>98</v>
      </c>
      <c r="H75">
        <v>112</v>
      </c>
      <c r="I75" s="3" t="s">
        <v>96</v>
      </c>
      <c r="J75">
        <v>91</v>
      </c>
      <c r="K75">
        <v>214</v>
      </c>
      <c r="L75" t="str">
        <f t="shared" si="8"/>
        <v>high</v>
      </c>
      <c r="P75" s="7" t="s">
        <v>142</v>
      </c>
      <c r="Q75" s="7" t="s">
        <v>147</v>
      </c>
    </row>
    <row r="76" spans="1:17" x14ac:dyDescent="0.25">
      <c r="A76" t="s">
        <v>151</v>
      </c>
      <c r="B76">
        <v>286638</v>
      </c>
      <c r="D76">
        <v>50</v>
      </c>
      <c r="G76">
        <v>98</v>
      </c>
      <c r="H76">
        <v>78</v>
      </c>
      <c r="I76" t="s">
        <v>6</v>
      </c>
      <c r="J76">
        <v>90</v>
      </c>
      <c r="K76">
        <v>357</v>
      </c>
      <c r="L76" t="str">
        <f t="shared" si="8"/>
        <v>very high</v>
      </c>
      <c r="P76" s="7" t="s">
        <v>147</v>
      </c>
      <c r="Q76" s="7" t="s">
        <v>147</v>
      </c>
    </row>
    <row r="77" spans="1:17" x14ac:dyDescent="0.25">
      <c r="A77" t="s">
        <v>99</v>
      </c>
      <c r="B77">
        <v>2560418</v>
      </c>
      <c r="D77">
        <v>35</v>
      </c>
      <c r="G77">
        <v>98</v>
      </c>
      <c r="H77">
        <v>92</v>
      </c>
      <c r="I77" t="s">
        <v>152</v>
      </c>
      <c r="J77">
        <v>85</v>
      </c>
      <c r="K77">
        <v>96</v>
      </c>
      <c r="L77" t="str">
        <f t="shared" si="8"/>
        <v>normal</v>
      </c>
      <c r="P77" s="7" t="s">
        <v>142</v>
      </c>
      <c r="Q77" s="7" t="s">
        <v>147</v>
      </c>
    </row>
    <row r="78" spans="1:17" hidden="1" x14ac:dyDescent="0.25">
      <c r="A78" t="s">
        <v>153</v>
      </c>
      <c r="B78">
        <v>255543</v>
      </c>
      <c r="D78">
        <v>76</v>
      </c>
      <c r="G78">
        <v>98</v>
      </c>
      <c r="H78">
        <v>102</v>
      </c>
      <c r="I78" s="3" t="s">
        <v>154</v>
      </c>
      <c r="J78">
        <v>95</v>
      </c>
      <c r="P78" s="7" t="s">
        <v>142</v>
      </c>
      <c r="Q78" s="7" t="s">
        <v>147</v>
      </c>
    </row>
    <row r="79" spans="1:17" hidden="1" x14ac:dyDescent="0.25">
      <c r="A79" t="s">
        <v>155</v>
      </c>
      <c r="B79">
        <v>286713</v>
      </c>
      <c r="D79">
        <v>47</v>
      </c>
      <c r="G79">
        <v>98</v>
      </c>
      <c r="P79" s="7" t="s">
        <v>147</v>
      </c>
      <c r="Q79" s="7" t="s">
        <v>147</v>
      </c>
    </row>
    <row r="80" spans="1:17" x14ac:dyDescent="0.25">
      <c r="A80" t="s">
        <v>156</v>
      </c>
      <c r="B80">
        <v>286721</v>
      </c>
      <c r="D80">
        <v>80</v>
      </c>
      <c r="G80">
        <v>98</v>
      </c>
      <c r="H80">
        <v>84</v>
      </c>
      <c r="I80" t="s">
        <v>157</v>
      </c>
      <c r="J80">
        <v>70</v>
      </c>
      <c r="K80">
        <v>97</v>
      </c>
      <c r="L80" t="str">
        <f t="shared" ref="L80:L83" si="9">IF(K80:K1078&lt;=79,"sweet",IF(K80:K1078&lt;=120,"normal",IF(K80:K1078&lt;=250,"high",IF(K80:K1078&lt;=1000,"very high"))))</f>
        <v>normal</v>
      </c>
      <c r="P80" s="7" t="s">
        <v>147</v>
      </c>
      <c r="Q80" s="7" t="s">
        <v>147</v>
      </c>
    </row>
    <row r="81" spans="1:18" x14ac:dyDescent="0.25">
      <c r="A81" t="s">
        <v>158</v>
      </c>
      <c r="B81">
        <v>287175</v>
      </c>
      <c r="D81">
        <v>55</v>
      </c>
      <c r="G81">
        <v>98</v>
      </c>
      <c r="H81">
        <v>82</v>
      </c>
      <c r="I81" t="s">
        <v>6</v>
      </c>
      <c r="J81">
        <v>125</v>
      </c>
      <c r="K81">
        <v>253</v>
      </c>
      <c r="L81" t="str">
        <f t="shared" si="9"/>
        <v>very high</v>
      </c>
      <c r="P81" s="7" t="s">
        <v>147</v>
      </c>
      <c r="Q81" s="7" t="s">
        <v>147</v>
      </c>
    </row>
    <row r="82" spans="1:18" x14ac:dyDescent="0.25">
      <c r="A82" t="s">
        <v>137</v>
      </c>
      <c r="B82">
        <v>28657</v>
      </c>
      <c r="D82">
        <v>45</v>
      </c>
      <c r="G82">
        <v>98</v>
      </c>
      <c r="H82">
        <v>96</v>
      </c>
      <c r="I82" t="s">
        <v>159</v>
      </c>
      <c r="J82">
        <v>82</v>
      </c>
      <c r="K82">
        <v>130</v>
      </c>
      <c r="L82" t="str">
        <f t="shared" si="9"/>
        <v>high</v>
      </c>
      <c r="P82" s="7" t="s">
        <v>147</v>
      </c>
      <c r="Q82" s="7" t="s">
        <v>147</v>
      </c>
    </row>
    <row r="83" spans="1:18" x14ac:dyDescent="0.25">
      <c r="A83" t="s">
        <v>122</v>
      </c>
      <c r="B83">
        <v>256907</v>
      </c>
      <c r="D83">
        <v>60</v>
      </c>
      <c r="G83">
        <v>98</v>
      </c>
      <c r="H83">
        <v>86</v>
      </c>
      <c r="I83" t="s">
        <v>79</v>
      </c>
      <c r="J83">
        <v>98</v>
      </c>
      <c r="K83">
        <v>180</v>
      </c>
      <c r="L83" t="str">
        <f t="shared" si="9"/>
        <v>high</v>
      </c>
      <c r="P83" s="7">
        <v>44471</v>
      </c>
      <c r="Q83" s="7">
        <v>44471</v>
      </c>
      <c r="R83" s="4"/>
    </row>
    <row r="84" spans="1:18" hidden="1" x14ac:dyDescent="0.25">
      <c r="A84" t="s">
        <v>160</v>
      </c>
      <c r="B84">
        <v>257285</v>
      </c>
      <c r="D84">
        <v>77</v>
      </c>
      <c r="G84">
        <v>99</v>
      </c>
      <c r="H84">
        <v>89</v>
      </c>
      <c r="I84" t="s">
        <v>161</v>
      </c>
      <c r="J84">
        <v>83</v>
      </c>
      <c r="P84" s="7">
        <v>44471</v>
      </c>
      <c r="Q84" s="7">
        <v>44471</v>
      </c>
    </row>
    <row r="85" spans="1:18" x14ac:dyDescent="0.25">
      <c r="A85" t="s">
        <v>163</v>
      </c>
      <c r="B85">
        <v>25733</v>
      </c>
      <c r="D85">
        <v>80</v>
      </c>
      <c r="G85">
        <v>100</v>
      </c>
      <c r="H85">
        <v>100</v>
      </c>
      <c r="I85" t="s">
        <v>154</v>
      </c>
      <c r="J85">
        <v>99</v>
      </c>
      <c r="K85">
        <v>551</v>
      </c>
      <c r="L85" t="str">
        <f>IF(K85:K1083&lt;=79,"sweet",IF(K85:K1083&lt;=120,"normal",IF(K85:K1083&lt;=250,"high",IF(K85:K1083&lt;=1000,"very high"))))</f>
        <v>very high</v>
      </c>
      <c r="P85" s="7">
        <v>44471</v>
      </c>
      <c r="Q85" s="7">
        <v>44502</v>
      </c>
    </row>
    <row r="86" spans="1:18" hidden="1" x14ac:dyDescent="0.25">
      <c r="A86" t="s">
        <v>164</v>
      </c>
      <c r="B86">
        <v>252705</v>
      </c>
      <c r="D86">
        <v>60</v>
      </c>
      <c r="G86">
        <v>98</v>
      </c>
      <c r="H86">
        <v>100</v>
      </c>
      <c r="I86" t="s">
        <v>74</v>
      </c>
      <c r="P86" s="7">
        <v>44502</v>
      </c>
      <c r="Q86" s="7">
        <v>44502</v>
      </c>
    </row>
    <row r="87" spans="1:18" x14ac:dyDescent="0.25">
      <c r="A87" t="s">
        <v>165</v>
      </c>
      <c r="B87">
        <v>157252</v>
      </c>
      <c r="D87">
        <v>65</v>
      </c>
      <c r="G87">
        <v>98</v>
      </c>
      <c r="H87">
        <v>78</v>
      </c>
      <c r="I87" t="s">
        <v>6</v>
      </c>
      <c r="J87">
        <v>90</v>
      </c>
      <c r="K87">
        <v>166</v>
      </c>
      <c r="L87" t="str">
        <f>IF(K87:K1085&lt;=79,"sweet",IF(K87:K1085&lt;=120,"normal",IF(K87:K1085&lt;=250,"high",IF(K87:K1085&lt;=1000,"very high"))))</f>
        <v>high</v>
      </c>
      <c r="P87" s="7">
        <v>44471</v>
      </c>
      <c r="Q87" s="7">
        <v>44502</v>
      </c>
    </row>
    <row r="88" spans="1:18" hidden="1" x14ac:dyDescent="0.25">
      <c r="A88" t="s">
        <v>166</v>
      </c>
      <c r="B88">
        <v>258659</v>
      </c>
      <c r="C88" t="s">
        <v>167</v>
      </c>
      <c r="D88">
        <v>45</v>
      </c>
      <c r="G88">
        <v>98</v>
      </c>
      <c r="I88" t="s">
        <v>0</v>
      </c>
      <c r="K88">
        <v>76</v>
      </c>
      <c r="P88" s="7">
        <v>44502</v>
      </c>
      <c r="Q88" s="7">
        <v>44502</v>
      </c>
    </row>
    <row r="89" spans="1:18" x14ac:dyDescent="0.25">
      <c r="A89" t="s">
        <v>168</v>
      </c>
      <c r="B89">
        <v>258860</v>
      </c>
      <c r="D89">
        <v>45</v>
      </c>
      <c r="G89">
        <v>98</v>
      </c>
      <c r="H89">
        <v>79</v>
      </c>
      <c r="I89" t="s">
        <v>96</v>
      </c>
      <c r="J89">
        <v>91</v>
      </c>
      <c r="K89">
        <v>433</v>
      </c>
      <c r="L89" t="str">
        <f>IF(K89:K1087&lt;=79,"sweet",IF(K89:K1087&lt;=120,"normal",IF(K89:K1087&lt;=250,"high",IF(K89:K1087&lt;=1000,"very high"))))</f>
        <v>very high</v>
      </c>
      <c r="O89" t="s">
        <v>967</v>
      </c>
      <c r="P89" s="7">
        <v>44502</v>
      </c>
      <c r="Q89" s="7">
        <v>44502</v>
      </c>
      <c r="R89" t="s">
        <v>41</v>
      </c>
    </row>
    <row r="90" spans="1:18" hidden="1" x14ac:dyDescent="0.25">
      <c r="A90" t="s">
        <v>169</v>
      </c>
      <c r="B90">
        <v>2540515</v>
      </c>
      <c r="D90">
        <v>55</v>
      </c>
      <c r="G90">
        <v>98</v>
      </c>
      <c r="H90">
        <v>92</v>
      </c>
      <c r="I90" t="s">
        <v>79</v>
      </c>
      <c r="P90" s="7">
        <v>44532</v>
      </c>
      <c r="Q90" s="7">
        <v>44532</v>
      </c>
    </row>
    <row r="91" spans="1:18" x14ac:dyDescent="0.25">
      <c r="A91" t="s">
        <v>170</v>
      </c>
      <c r="B91">
        <v>259548</v>
      </c>
      <c r="D91">
        <v>61</v>
      </c>
      <c r="G91">
        <v>98</v>
      </c>
      <c r="H91">
        <v>92</v>
      </c>
      <c r="I91" t="s">
        <v>43</v>
      </c>
      <c r="J91">
        <v>90</v>
      </c>
      <c r="K91">
        <v>180</v>
      </c>
      <c r="L91" t="str">
        <f t="shared" ref="L91:L92" si="10">IF(K91:K1089&lt;=79,"sweet",IF(K91:K1089&lt;=120,"normal",IF(K91:K1089&lt;=250,"high",IF(K91:K1089&lt;=1000,"very high"))))</f>
        <v>high</v>
      </c>
      <c r="O91" t="s">
        <v>967</v>
      </c>
      <c r="P91" s="7">
        <v>44532</v>
      </c>
      <c r="Q91" s="7">
        <v>44532</v>
      </c>
    </row>
    <row r="92" spans="1:18" x14ac:dyDescent="0.25">
      <c r="A92" t="s">
        <v>171</v>
      </c>
      <c r="B92">
        <v>267737</v>
      </c>
      <c r="D92">
        <v>37</v>
      </c>
      <c r="G92">
        <v>98</v>
      </c>
      <c r="H92">
        <v>128</v>
      </c>
      <c r="I92" t="s">
        <v>172</v>
      </c>
      <c r="J92">
        <v>85</v>
      </c>
      <c r="K92">
        <v>119</v>
      </c>
      <c r="L92" t="str">
        <f t="shared" si="10"/>
        <v>normal</v>
      </c>
      <c r="P92" s="7" t="s">
        <v>173</v>
      </c>
      <c r="Q92" s="7" t="s">
        <v>173</v>
      </c>
    </row>
    <row r="93" spans="1:18" hidden="1" x14ac:dyDescent="0.25">
      <c r="A93" t="s">
        <v>174</v>
      </c>
      <c r="B93">
        <v>265617</v>
      </c>
      <c r="D93">
        <v>60</v>
      </c>
      <c r="G93">
        <v>98.6</v>
      </c>
      <c r="H93">
        <v>105</v>
      </c>
      <c r="I93" t="s">
        <v>175</v>
      </c>
      <c r="J93">
        <v>85</v>
      </c>
      <c r="K93">
        <v>32</v>
      </c>
      <c r="P93" s="7" t="s">
        <v>176</v>
      </c>
      <c r="Q93" s="7" t="s">
        <v>176</v>
      </c>
    </row>
    <row r="94" spans="1:18" x14ac:dyDescent="0.25">
      <c r="A94" t="s">
        <v>177</v>
      </c>
      <c r="B94">
        <v>257725</v>
      </c>
      <c r="D94">
        <v>62</v>
      </c>
      <c r="G94">
        <v>98</v>
      </c>
      <c r="H94">
        <v>140</v>
      </c>
      <c r="I94" t="s">
        <v>178</v>
      </c>
      <c r="J94">
        <v>95</v>
      </c>
      <c r="K94">
        <v>143</v>
      </c>
      <c r="L94" t="str">
        <f t="shared" ref="L94:L95" si="11">IF(K94:K1092&lt;=79,"sweet",IF(K94:K1092&lt;=120,"normal",IF(K94:K1092&lt;=250,"high",IF(K94:K1092&lt;=1000,"very high"))))</f>
        <v>high</v>
      </c>
      <c r="O94" t="s">
        <v>968</v>
      </c>
      <c r="P94" s="7">
        <v>44502</v>
      </c>
      <c r="Q94" s="7" t="s">
        <v>176</v>
      </c>
    </row>
    <row r="95" spans="1:18" x14ac:dyDescent="0.25">
      <c r="A95" t="s">
        <v>179</v>
      </c>
      <c r="C95" t="s">
        <v>180</v>
      </c>
      <c r="D95">
        <v>47</v>
      </c>
      <c r="G95">
        <v>99</v>
      </c>
      <c r="H95">
        <v>88</v>
      </c>
      <c r="I95" t="s">
        <v>31</v>
      </c>
      <c r="J95">
        <v>98</v>
      </c>
      <c r="K95">
        <v>80</v>
      </c>
      <c r="L95" t="str">
        <f t="shared" si="11"/>
        <v>normal</v>
      </c>
      <c r="P95" s="7">
        <v>44288</v>
      </c>
      <c r="Q95" s="7">
        <v>44288</v>
      </c>
    </row>
    <row r="96" spans="1:18" hidden="1" x14ac:dyDescent="0.25">
      <c r="A96" t="s">
        <v>73</v>
      </c>
      <c r="B96">
        <v>9801933</v>
      </c>
      <c r="D96">
        <v>75</v>
      </c>
      <c r="G96">
        <v>98</v>
      </c>
      <c r="H96">
        <v>80</v>
      </c>
      <c r="I96" t="s">
        <v>154</v>
      </c>
      <c r="K96">
        <v>22</v>
      </c>
      <c r="O96" t="s">
        <v>967</v>
      </c>
      <c r="P96" s="7">
        <v>44288</v>
      </c>
      <c r="Q96" s="7">
        <v>44288</v>
      </c>
    </row>
    <row r="97" spans="1:18" x14ac:dyDescent="0.25">
      <c r="A97" t="s">
        <v>181</v>
      </c>
      <c r="B97">
        <v>973746</v>
      </c>
      <c r="D97">
        <v>16</v>
      </c>
      <c r="G97">
        <v>98</v>
      </c>
      <c r="H97">
        <v>150</v>
      </c>
      <c r="I97" t="s">
        <v>182</v>
      </c>
      <c r="J97">
        <v>100</v>
      </c>
      <c r="K97">
        <v>132</v>
      </c>
      <c r="L97" t="str">
        <f t="shared" ref="L97:L98" si="12">IF(K97:K1095&lt;=79,"sweet",IF(K97:K1095&lt;=120,"normal",IF(K97:K1095&lt;=250,"high",IF(K97:K1095&lt;=1000,"very high"))))</f>
        <v>high</v>
      </c>
      <c r="O97" t="s">
        <v>967</v>
      </c>
      <c r="P97" s="7">
        <v>44532</v>
      </c>
      <c r="Q97" s="7" t="s">
        <v>176</v>
      </c>
    </row>
    <row r="98" spans="1:18" x14ac:dyDescent="0.25">
      <c r="A98" t="s">
        <v>183</v>
      </c>
      <c r="B98">
        <v>261066</v>
      </c>
      <c r="D98">
        <v>25</v>
      </c>
      <c r="G98">
        <v>98</v>
      </c>
      <c r="H98">
        <v>70</v>
      </c>
      <c r="I98" t="s">
        <v>0</v>
      </c>
      <c r="J98">
        <v>78</v>
      </c>
      <c r="K98">
        <v>234</v>
      </c>
      <c r="L98" t="str">
        <f t="shared" si="12"/>
        <v>high</v>
      </c>
      <c r="P98" s="7">
        <v>44532</v>
      </c>
      <c r="Q98" s="7">
        <v>44532</v>
      </c>
    </row>
    <row r="99" spans="1:18" hidden="1" x14ac:dyDescent="0.25">
      <c r="A99" t="s">
        <v>184</v>
      </c>
      <c r="B99">
        <v>261344</v>
      </c>
      <c r="D99">
        <v>30</v>
      </c>
      <c r="G99">
        <v>98</v>
      </c>
      <c r="I99" t="s">
        <v>0</v>
      </c>
      <c r="J99">
        <v>10</v>
      </c>
      <c r="P99" s="7" t="s">
        <v>176</v>
      </c>
      <c r="Q99" s="7">
        <v>44532</v>
      </c>
    </row>
    <row r="100" spans="1:18" hidden="1" x14ac:dyDescent="0.25">
      <c r="A100" t="s">
        <v>185</v>
      </c>
      <c r="B100">
        <v>261114</v>
      </c>
      <c r="D100">
        <v>60</v>
      </c>
      <c r="G100">
        <v>98</v>
      </c>
      <c r="H100">
        <v>125</v>
      </c>
      <c r="I100" t="s">
        <v>6</v>
      </c>
      <c r="J100">
        <v>92</v>
      </c>
      <c r="P100" s="7">
        <v>44532</v>
      </c>
      <c r="Q100" s="7">
        <v>44532</v>
      </c>
    </row>
    <row r="101" spans="1:18" hidden="1" x14ac:dyDescent="0.25">
      <c r="A101" t="s">
        <v>186</v>
      </c>
      <c r="B101">
        <v>265709</v>
      </c>
      <c r="D101">
        <v>18</v>
      </c>
      <c r="G101">
        <v>98</v>
      </c>
      <c r="H101">
        <v>70</v>
      </c>
      <c r="J101">
        <v>30</v>
      </c>
      <c r="P101" s="7" t="s">
        <v>176</v>
      </c>
      <c r="Q101" s="7" t="s">
        <v>176</v>
      </c>
      <c r="R101" t="s">
        <v>187</v>
      </c>
    </row>
    <row r="102" spans="1:18" x14ac:dyDescent="0.25">
      <c r="A102" t="s">
        <v>188</v>
      </c>
      <c r="B102">
        <v>265184</v>
      </c>
      <c r="D102">
        <v>50</v>
      </c>
      <c r="G102">
        <v>98</v>
      </c>
      <c r="H102">
        <v>86</v>
      </c>
      <c r="I102" t="s">
        <v>189</v>
      </c>
      <c r="J102">
        <v>96</v>
      </c>
      <c r="K102">
        <v>104</v>
      </c>
      <c r="L102" t="str">
        <f>IF(K102:K1100&lt;=79,"sweet",IF(K102:K1100&lt;=120,"normal",IF(K102:K1100&lt;=250,"high",IF(K102:K1100&lt;=1000,"very high"))))</f>
        <v>normal</v>
      </c>
      <c r="O102" t="s">
        <v>977</v>
      </c>
      <c r="P102" s="7" t="s">
        <v>176</v>
      </c>
      <c r="Q102" s="7" t="s">
        <v>176</v>
      </c>
    </row>
    <row r="103" spans="1:18" hidden="1" x14ac:dyDescent="0.25">
      <c r="A103" t="s">
        <v>190</v>
      </c>
      <c r="B103">
        <v>267084</v>
      </c>
      <c r="D103">
        <v>60</v>
      </c>
      <c r="G103">
        <v>98</v>
      </c>
      <c r="H103">
        <v>0</v>
      </c>
      <c r="I103">
        <v>0</v>
      </c>
      <c r="J103">
        <v>0</v>
      </c>
      <c r="K103">
        <v>34</v>
      </c>
      <c r="P103" s="7" t="s">
        <v>176</v>
      </c>
      <c r="Q103" s="7" t="s">
        <v>176</v>
      </c>
    </row>
    <row r="104" spans="1:18" x14ac:dyDescent="0.25">
      <c r="A104" t="s">
        <v>191</v>
      </c>
      <c r="B104">
        <v>259847</v>
      </c>
      <c r="D104">
        <v>70</v>
      </c>
      <c r="G104">
        <v>98</v>
      </c>
      <c r="H104">
        <v>111</v>
      </c>
      <c r="I104" t="s">
        <v>192</v>
      </c>
      <c r="J104">
        <v>98</v>
      </c>
      <c r="K104">
        <v>129</v>
      </c>
      <c r="L104" t="str">
        <f t="shared" ref="L104:L106" si="13">IF(K104:K1102&lt;=79,"sweet",IF(K104:K1102&lt;=120,"normal",IF(K104:K1102&lt;=250,"high",IF(K104:K1102&lt;=1000,"very high"))))</f>
        <v>high</v>
      </c>
      <c r="P104" s="7">
        <v>44502</v>
      </c>
      <c r="Q104" s="7" t="s">
        <v>176</v>
      </c>
    </row>
    <row r="105" spans="1:18" x14ac:dyDescent="0.25">
      <c r="A105" t="s">
        <v>193</v>
      </c>
      <c r="B105">
        <v>261422</v>
      </c>
      <c r="D105">
        <v>22</v>
      </c>
      <c r="G105">
        <v>99</v>
      </c>
      <c r="H105">
        <v>100</v>
      </c>
      <c r="I105" t="s">
        <v>194</v>
      </c>
      <c r="J105">
        <v>86</v>
      </c>
      <c r="K105">
        <v>163</v>
      </c>
      <c r="L105" t="str">
        <f t="shared" si="13"/>
        <v>high</v>
      </c>
      <c r="P105" s="7" t="s">
        <v>176</v>
      </c>
      <c r="Q105" s="7" t="s">
        <v>176</v>
      </c>
    </row>
    <row r="106" spans="1:18" x14ac:dyDescent="0.25">
      <c r="A106" t="s">
        <v>197</v>
      </c>
      <c r="B106">
        <v>263698</v>
      </c>
      <c r="C106" t="s">
        <v>195</v>
      </c>
      <c r="D106">
        <v>50</v>
      </c>
      <c r="G106">
        <v>98</v>
      </c>
      <c r="H106">
        <v>80</v>
      </c>
      <c r="I106" t="s">
        <v>49</v>
      </c>
      <c r="J106">
        <v>92</v>
      </c>
      <c r="K106">
        <v>542</v>
      </c>
      <c r="L106" t="str">
        <f t="shared" si="13"/>
        <v>very high</v>
      </c>
      <c r="P106" s="7" t="s">
        <v>196</v>
      </c>
      <c r="Q106" s="7" t="s">
        <v>196</v>
      </c>
      <c r="R106" t="s">
        <v>41</v>
      </c>
    </row>
    <row r="107" spans="1:18" hidden="1" x14ac:dyDescent="0.25">
      <c r="A107" t="s">
        <v>197</v>
      </c>
      <c r="B107">
        <v>262998</v>
      </c>
      <c r="D107">
        <v>45</v>
      </c>
      <c r="G107">
        <v>98</v>
      </c>
      <c r="H107">
        <v>90</v>
      </c>
      <c r="I107" t="s">
        <v>94</v>
      </c>
      <c r="J107">
        <v>85</v>
      </c>
      <c r="P107" s="7" t="s">
        <v>176</v>
      </c>
      <c r="Q107" s="7" t="s">
        <v>196</v>
      </c>
    </row>
    <row r="108" spans="1:18" hidden="1" x14ac:dyDescent="0.25">
      <c r="A108" t="s">
        <v>198</v>
      </c>
      <c r="B108">
        <v>265570</v>
      </c>
      <c r="C108">
        <v>3120101515015</v>
      </c>
      <c r="D108">
        <v>50</v>
      </c>
      <c r="G108">
        <v>101</v>
      </c>
      <c r="H108">
        <v>120</v>
      </c>
      <c r="I108" t="s">
        <v>96</v>
      </c>
      <c r="J108">
        <v>70</v>
      </c>
      <c r="P108" s="7" t="s">
        <v>196</v>
      </c>
      <c r="Q108" s="7" t="s">
        <v>196</v>
      </c>
    </row>
    <row r="109" spans="1:18" x14ac:dyDescent="0.25">
      <c r="A109" t="s">
        <v>199</v>
      </c>
      <c r="B109">
        <v>263449</v>
      </c>
      <c r="D109">
        <v>70</v>
      </c>
      <c r="G109">
        <v>98</v>
      </c>
      <c r="H109">
        <v>92</v>
      </c>
      <c r="I109" t="s">
        <v>194</v>
      </c>
      <c r="J109">
        <v>77</v>
      </c>
      <c r="K109">
        <v>118</v>
      </c>
      <c r="L109" t="str">
        <f t="shared" ref="L109:L110" si="14">IF(K109:K1107&lt;=79,"sweet",IF(K109:K1107&lt;=120,"normal",IF(K109:K1107&lt;=250,"high",IF(K109:K1107&lt;=1000,"very high"))))</f>
        <v>normal</v>
      </c>
      <c r="P109" s="7" t="s">
        <v>196</v>
      </c>
      <c r="Q109" s="7" t="s">
        <v>196</v>
      </c>
    </row>
    <row r="110" spans="1:18" x14ac:dyDescent="0.25">
      <c r="A110" t="s">
        <v>200</v>
      </c>
      <c r="B110">
        <v>264790</v>
      </c>
      <c r="D110">
        <v>16</v>
      </c>
      <c r="G110">
        <v>98</v>
      </c>
      <c r="H110">
        <v>75</v>
      </c>
      <c r="I110" t="s">
        <v>79</v>
      </c>
      <c r="J110">
        <v>78</v>
      </c>
      <c r="K110">
        <v>114</v>
      </c>
      <c r="L110" t="str">
        <f t="shared" si="14"/>
        <v>normal</v>
      </c>
      <c r="P110" s="7" t="s">
        <v>196</v>
      </c>
      <c r="Q110" s="7" t="s">
        <v>196</v>
      </c>
    </row>
    <row r="111" spans="1:18" hidden="1" x14ac:dyDescent="0.25">
      <c r="A111" t="s">
        <v>201</v>
      </c>
      <c r="B111">
        <v>265114</v>
      </c>
      <c r="D111">
        <v>50</v>
      </c>
      <c r="G111">
        <v>98</v>
      </c>
      <c r="J111">
        <v>79</v>
      </c>
      <c r="P111" s="7" t="s">
        <v>196</v>
      </c>
      <c r="Q111" s="7" t="s">
        <v>196</v>
      </c>
    </row>
    <row r="112" spans="1:18" x14ac:dyDescent="0.25">
      <c r="A112" t="s">
        <v>202</v>
      </c>
      <c r="B112">
        <v>265318</v>
      </c>
      <c r="D112">
        <v>50</v>
      </c>
      <c r="G112">
        <v>98</v>
      </c>
      <c r="H112">
        <v>98</v>
      </c>
      <c r="I112" t="s">
        <v>31</v>
      </c>
      <c r="J112">
        <v>82</v>
      </c>
      <c r="K112">
        <v>345</v>
      </c>
      <c r="L112" t="str">
        <f t="shared" ref="L112:L116" si="15">IF(K112:K1110&lt;=79,"sweet",IF(K112:K1110&lt;=120,"normal",IF(K112:K1110&lt;=250,"high",IF(K112:K1110&lt;=1000,"very high"))))</f>
        <v>very high</v>
      </c>
      <c r="N112" t="s">
        <v>974</v>
      </c>
      <c r="P112" s="7" t="s">
        <v>203</v>
      </c>
      <c r="Q112" s="7" t="s">
        <v>203</v>
      </c>
    </row>
    <row r="113" spans="1:18" x14ac:dyDescent="0.25">
      <c r="A113" t="s">
        <v>158</v>
      </c>
      <c r="B113">
        <v>264999</v>
      </c>
      <c r="D113">
        <v>30</v>
      </c>
      <c r="G113">
        <v>98</v>
      </c>
      <c r="H113">
        <v>102</v>
      </c>
      <c r="I113" t="s">
        <v>6</v>
      </c>
      <c r="J113">
        <v>34</v>
      </c>
      <c r="K113">
        <v>269</v>
      </c>
      <c r="L113" t="str">
        <f t="shared" si="15"/>
        <v>very high</v>
      </c>
      <c r="P113" s="7" t="s">
        <v>196</v>
      </c>
      <c r="Q113" s="7" t="s">
        <v>203</v>
      </c>
    </row>
    <row r="114" spans="1:18" x14ac:dyDescent="0.25">
      <c r="A114" t="s">
        <v>204</v>
      </c>
      <c r="B114">
        <v>26539</v>
      </c>
      <c r="D114">
        <v>50</v>
      </c>
      <c r="G114">
        <v>98</v>
      </c>
      <c r="H114">
        <v>78</v>
      </c>
      <c r="I114" t="s">
        <v>62</v>
      </c>
      <c r="J114">
        <v>93</v>
      </c>
      <c r="K114">
        <v>239</v>
      </c>
      <c r="L114" t="str">
        <f t="shared" si="15"/>
        <v>high</v>
      </c>
      <c r="P114" s="7" t="s">
        <v>203</v>
      </c>
      <c r="Q114" s="7" t="s">
        <v>203</v>
      </c>
    </row>
    <row r="115" spans="1:18" x14ac:dyDescent="0.25">
      <c r="A115" t="s">
        <v>205</v>
      </c>
      <c r="B115">
        <v>259672</v>
      </c>
      <c r="D115">
        <v>15</v>
      </c>
      <c r="G115">
        <v>98</v>
      </c>
      <c r="H115">
        <v>109</v>
      </c>
      <c r="I115" t="s">
        <v>206</v>
      </c>
      <c r="J115">
        <v>100</v>
      </c>
      <c r="K115">
        <v>181</v>
      </c>
      <c r="L115" t="str">
        <f t="shared" si="15"/>
        <v>high</v>
      </c>
      <c r="P115" s="7" t="s">
        <v>176</v>
      </c>
      <c r="Q115" s="7" t="s">
        <v>147</v>
      </c>
    </row>
    <row r="116" spans="1:18" x14ac:dyDescent="0.25">
      <c r="A116" t="s">
        <v>207</v>
      </c>
      <c r="B116">
        <v>265452</v>
      </c>
      <c r="D116">
        <v>75</v>
      </c>
      <c r="G116">
        <v>98</v>
      </c>
      <c r="H116">
        <v>82</v>
      </c>
      <c r="I116" t="s">
        <v>53</v>
      </c>
      <c r="J116">
        <v>75</v>
      </c>
      <c r="K116">
        <v>227</v>
      </c>
      <c r="L116" t="str">
        <f t="shared" si="15"/>
        <v>high</v>
      </c>
      <c r="P116" s="7" t="s">
        <v>203</v>
      </c>
      <c r="Q116" s="7" t="s">
        <v>203</v>
      </c>
    </row>
    <row r="117" spans="1:18" hidden="1" x14ac:dyDescent="0.25">
      <c r="A117" t="s">
        <v>208</v>
      </c>
      <c r="B117">
        <v>259096</v>
      </c>
      <c r="C117" t="s">
        <v>209</v>
      </c>
      <c r="D117">
        <v>75</v>
      </c>
      <c r="G117">
        <v>98</v>
      </c>
      <c r="H117">
        <v>87</v>
      </c>
      <c r="I117" t="s">
        <v>154</v>
      </c>
      <c r="P117" s="7" t="s">
        <v>196</v>
      </c>
      <c r="Q117" s="7" t="s">
        <v>203</v>
      </c>
    </row>
    <row r="118" spans="1:18" x14ac:dyDescent="0.25">
      <c r="A118" t="s">
        <v>210</v>
      </c>
      <c r="B118">
        <v>266732</v>
      </c>
      <c r="D118">
        <v>80</v>
      </c>
      <c r="G118">
        <v>98</v>
      </c>
      <c r="H118">
        <v>68</v>
      </c>
      <c r="I118" t="s">
        <v>49</v>
      </c>
      <c r="J118">
        <v>65</v>
      </c>
      <c r="K118">
        <v>223</v>
      </c>
      <c r="L118" t="str">
        <f t="shared" ref="L118:L125" si="16">IF(K118:K1116&lt;=79,"sweet",IF(K118:K1116&lt;=120,"normal",IF(K118:K1116&lt;=250,"high",IF(K118:K1116&lt;=1000,"very high"))))</f>
        <v>high</v>
      </c>
      <c r="P118" s="7" t="s">
        <v>203</v>
      </c>
      <c r="Q118" s="7" t="s">
        <v>203</v>
      </c>
    </row>
    <row r="119" spans="1:18" x14ac:dyDescent="0.25">
      <c r="A119" t="s">
        <v>211</v>
      </c>
      <c r="B119">
        <v>267472</v>
      </c>
      <c r="D119">
        <v>25</v>
      </c>
      <c r="G119">
        <v>98</v>
      </c>
      <c r="H119">
        <v>66</v>
      </c>
      <c r="I119" t="s">
        <v>268</v>
      </c>
      <c r="J119">
        <v>60</v>
      </c>
      <c r="K119">
        <v>155</v>
      </c>
      <c r="L119" t="str">
        <f t="shared" si="16"/>
        <v>high</v>
      </c>
      <c r="P119" s="7" t="s">
        <v>203</v>
      </c>
      <c r="Q119" s="7" t="s">
        <v>173</v>
      </c>
    </row>
    <row r="120" spans="1:18" x14ac:dyDescent="0.25">
      <c r="A120" t="s">
        <v>212</v>
      </c>
      <c r="B120">
        <v>2696100</v>
      </c>
      <c r="D120">
        <v>50</v>
      </c>
      <c r="G120">
        <v>98</v>
      </c>
      <c r="H120">
        <v>78</v>
      </c>
      <c r="I120" t="s">
        <v>154</v>
      </c>
      <c r="J120">
        <v>80</v>
      </c>
      <c r="K120">
        <v>209</v>
      </c>
      <c r="L120" t="str">
        <f t="shared" si="16"/>
        <v>high</v>
      </c>
      <c r="N120" t="s">
        <v>972</v>
      </c>
      <c r="P120" s="7" t="s">
        <v>173</v>
      </c>
      <c r="Q120" s="7" t="s">
        <v>173</v>
      </c>
    </row>
    <row r="121" spans="1:18" x14ac:dyDescent="0.25">
      <c r="A121" t="s">
        <v>213</v>
      </c>
      <c r="B121">
        <v>270339</v>
      </c>
      <c r="D121">
        <v>45</v>
      </c>
      <c r="G121">
        <v>98</v>
      </c>
      <c r="H121">
        <v>66</v>
      </c>
      <c r="I121" t="s">
        <v>31</v>
      </c>
      <c r="J121">
        <v>25</v>
      </c>
      <c r="K121">
        <v>216</v>
      </c>
      <c r="L121" t="str">
        <f t="shared" si="16"/>
        <v>high</v>
      </c>
      <c r="P121" s="7" t="s">
        <v>214</v>
      </c>
      <c r="Q121" s="7" t="s">
        <v>214</v>
      </c>
    </row>
    <row r="122" spans="1:18" x14ac:dyDescent="0.25">
      <c r="A122" t="s">
        <v>215</v>
      </c>
      <c r="B122">
        <v>273110</v>
      </c>
      <c r="C122" t="s">
        <v>216</v>
      </c>
      <c r="D122">
        <v>40</v>
      </c>
      <c r="G122">
        <v>98</v>
      </c>
      <c r="H122">
        <v>127</v>
      </c>
      <c r="I122" t="s">
        <v>217</v>
      </c>
      <c r="J122">
        <v>92</v>
      </c>
      <c r="K122">
        <v>350</v>
      </c>
      <c r="L122" t="str">
        <f t="shared" si="16"/>
        <v>very high</v>
      </c>
      <c r="P122" s="7" t="s">
        <v>214</v>
      </c>
      <c r="Q122" s="7" t="s">
        <v>214</v>
      </c>
      <c r="R122" t="s">
        <v>41</v>
      </c>
    </row>
    <row r="123" spans="1:18" x14ac:dyDescent="0.25">
      <c r="A123" t="s">
        <v>218</v>
      </c>
      <c r="B123">
        <v>288896</v>
      </c>
      <c r="D123">
        <v>35</v>
      </c>
      <c r="G123">
        <v>98</v>
      </c>
      <c r="H123">
        <v>152</v>
      </c>
      <c r="I123" t="s">
        <v>219</v>
      </c>
      <c r="J123">
        <v>91</v>
      </c>
      <c r="K123">
        <v>144</v>
      </c>
      <c r="L123" t="str">
        <f t="shared" si="16"/>
        <v>high</v>
      </c>
      <c r="P123" s="7" t="s">
        <v>173</v>
      </c>
      <c r="Q123" s="7" t="s">
        <v>214</v>
      </c>
    </row>
    <row r="124" spans="1:18" x14ac:dyDescent="0.25">
      <c r="A124" t="s">
        <v>220</v>
      </c>
      <c r="B124">
        <v>251119</v>
      </c>
      <c r="D124">
        <v>60</v>
      </c>
      <c r="G124">
        <v>98</v>
      </c>
      <c r="H124">
        <v>76</v>
      </c>
      <c r="I124" t="s">
        <v>157</v>
      </c>
      <c r="J124">
        <v>99</v>
      </c>
      <c r="K124">
        <v>138</v>
      </c>
      <c r="L124" t="str">
        <f t="shared" si="16"/>
        <v>high</v>
      </c>
      <c r="P124" s="7" t="s">
        <v>221</v>
      </c>
      <c r="Q124" s="7" t="s">
        <v>221</v>
      </c>
    </row>
    <row r="125" spans="1:18" x14ac:dyDescent="0.25">
      <c r="A125" t="s">
        <v>222</v>
      </c>
      <c r="B125">
        <v>9501746</v>
      </c>
      <c r="C125" t="s">
        <v>223</v>
      </c>
      <c r="D125">
        <v>70</v>
      </c>
      <c r="G125">
        <v>98</v>
      </c>
      <c r="H125">
        <v>90</v>
      </c>
      <c r="I125" t="s">
        <v>268</v>
      </c>
      <c r="J125">
        <v>91</v>
      </c>
      <c r="K125">
        <v>230</v>
      </c>
      <c r="L125" t="str">
        <f t="shared" si="16"/>
        <v>high</v>
      </c>
      <c r="O125" t="s">
        <v>967</v>
      </c>
      <c r="P125" s="7" t="s">
        <v>221</v>
      </c>
      <c r="Q125" s="7" t="s">
        <v>224</v>
      </c>
    </row>
    <row r="126" spans="1:18" hidden="1" x14ac:dyDescent="0.25">
      <c r="A126" t="s">
        <v>225</v>
      </c>
      <c r="B126">
        <v>95004852</v>
      </c>
      <c r="C126" t="s">
        <v>226</v>
      </c>
      <c r="D126">
        <v>35</v>
      </c>
      <c r="G126">
        <v>100</v>
      </c>
      <c r="H126">
        <v>112</v>
      </c>
      <c r="I126" t="s">
        <v>154</v>
      </c>
      <c r="J126">
        <v>99</v>
      </c>
      <c r="K126" t="s">
        <v>5</v>
      </c>
      <c r="P126" s="7" t="s">
        <v>221</v>
      </c>
      <c r="Q126" s="7" t="s">
        <v>224</v>
      </c>
    </row>
    <row r="127" spans="1:18" hidden="1" x14ac:dyDescent="0.25">
      <c r="A127" t="s">
        <v>227</v>
      </c>
      <c r="B127">
        <v>9543676</v>
      </c>
      <c r="D127">
        <v>69</v>
      </c>
      <c r="G127">
        <v>98</v>
      </c>
      <c r="K127">
        <v>40</v>
      </c>
      <c r="O127" t="s">
        <v>967</v>
      </c>
      <c r="P127" s="7" t="s">
        <v>224</v>
      </c>
      <c r="Q127" s="7" t="s">
        <v>224</v>
      </c>
    </row>
    <row r="128" spans="1:18" x14ac:dyDescent="0.25">
      <c r="A128" t="s">
        <v>46</v>
      </c>
      <c r="B128">
        <v>9531521</v>
      </c>
      <c r="D128">
        <v>40</v>
      </c>
      <c r="G128">
        <v>98</v>
      </c>
      <c r="H128">
        <v>120</v>
      </c>
      <c r="I128" t="s">
        <v>53</v>
      </c>
      <c r="J128">
        <v>70</v>
      </c>
      <c r="K128">
        <v>107</v>
      </c>
      <c r="L128" t="str">
        <f t="shared" ref="L128:L129" si="17">IF(K128:K1126&lt;=79,"sweet",IF(K128:K1126&lt;=120,"normal",IF(K128:K1126&lt;=250,"high",IF(K128:K1126&lt;=1000,"very high"))))</f>
        <v>normal</v>
      </c>
      <c r="P128" s="7" t="s">
        <v>224</v>
      </c>
      <c r="Q128" s="7" t="s">
        <v>224</v>
      </c>
    </row>
    <row r="129" spans="1:18" x14ac:dyDescent="0.25">
      <c r="A129" t="s">
        <v>228</v>
      </c>
      <c r="B129">
        <v>5411262</v>
      </c>
      <c r="D129">
        <v>7</v>
      </c>
      <c r="G129">
        <v>98</v>
      </c>
      <c r="H129">
        <v>90</v>
      </c>
      <c r="I129" t="s">
        <v>229</v>
      </c>
      <c r="J129">
        <v>100</v>
      </c>
      <c r="K129">
        <v>80</v>
      </c>
      <c r="L129" t="str">
        <f t="shared" si="17"/>
        <v>normal</v>
      </c>
      <c r="P129" s="7" t="s">
        <v>230</v>
      </c>
      <c r="Q129" s="7" t="s">
        <v>230</v>
      </c>
    </row>
    <row r="130" spans="1:18" hidden="1" x14ac:dyDescent="0.25">
      <c r="A130" t="s">
        <v>231</v>
      </c>
      <c r="B130">
        <v>256712567</v>
      </c>
      <c r="C130" t="s">
        <v>232</v>
      </c>
      <c r="D130">
        <v>70</v>
      </c>
      <c r="G130">
        <v>98</v>
      </c>
      <c r="H130">
        <v>82</v>
      </c>
      <c r="I130" t="s">
        <v>154</v>
      </c>
      <c r="J130">
        <v>100</v>
      </c>
      <c r="K130">
        <v>43</v>
      </c>
      <c r="N130" t="s">
        <v>975</v>
      </c>
      <c r="O130" t="s">
        <v>968</v>
      </c>
      <c r="P130" s="7" t="s">
        <v>230</v>
      </c>
      <c r="Q130" s="7" t="s">
        <v>230</v>
      </c>
    </row>
    <row r="131" spans="1:18" x14ac:dyDescent="0.25">
      <c r="A131" t="s">
        <v>84</v>
      </c>
      <c r="B131">
        <v>95440501</v>
      </c>
      <c r="C131" t="s">
        <v>233</v>
      </c>
      <c r="D131">
        <v>55</v>
      </c>
      <c r="G131">
        <v>98</v>
      </c>
      <c r="H131">
        <v>100</v>
      </c>
      <c r="I131" t="s">
        <v>94</v>
      </c>
      <c r="J131">
        <v>98</v>
      </c>
      <c r="K131">
        <v>350</v>
      </c>
      <c r="L131" t="str">
        <f>IF(K131:K1129&lt;=79,"sweet",IF(K131:K1129&lt;=120,"normal",IF(K131:K1129&lt;=250,"high",IF(K131:K1129&lt;=1000,"very high"))))</f>
        <v>very high</v>
      </c>
      <c r="P131" s="7" t="s">
        <v>230</v>
      </c>
      <c r="Q131" s="7" t="s">
        <v>230</v>
      </c>
      <c r="R131" t="s">
        <v>41</v>
      </c>
    </row>
    <row r="132" spans="1:18" hidden="1" x14ac:dyDescent="0.25">
      <c r="A132" t="s">
        <v>165</v>
      </c>
      <c r="B132">
        <v>9571819</v>
      </c>
      <c r="D132">
        <v>65</v>
      </c>
      <c r="G132">
        <v>98</v>
      </c>
      <c r="H132">
        <v>68</v>
      </c>
      <c r="K132">
        <v>39</v>
      </c>
      <c r="O132" t="s">
        <v>967</v>
      </c>
      <c r="P132" s="7" t="s">
        <v>230</v>
      </c>
      <c r="Q132" s="7" t="s">
        <v>230</v>
      </c>
    </row>
    <row r="133" spans="1:18" x14ac:dyDescent="0.25">
      <c r="A133" t="s">
        <v>234</v>
      </c>
      <c r="B133">
        <v>4110109560705</v>
      </c>
      <c r="D133">
        <v>50</v>
      </c>
      <c r="G133">
        <v>98</v>
      </c>
      <c r="H133">
        <v>96</v>
      </c>
      <c r="I133" t="s">
        <v>6</v>
      </c>
      <c r="J133">
        <v>99</v>
      </c>
      <c r="K133">
        <v>526</v>
      </c>
      <c r="L133" t="str">
        <f>IF(K133:K1131&lt;=79,"sweet",IF(K133:K1131&lt;=120,"normal",IF(K133:K1131&lt;=250,"high",IF(K133:K1131&lt;=1000,"very high"))))</f>
        <v>very high</v>
      </c>
      <c r="O133" t="s">
        <v>967</v>
      </c>
      <c r="P133" s="7" t="s">
        <v>230</v>
      </c>
      <c r="Q133" s="7" t="s">
        <v>230</v>
      </c>
      <c r="R133" t="s">
        <v>41</v>
      </c>
    </row>
    <row r="134" spans="1:18" hidden="1" x14ac:dyDescent="0.25">
      <c r="A134" t="s">
        <v>235</v>
      </c>
      <c r="B134">
        <v>9572959</v>
      </c>
      <c r="D134">
        <v>35</v>
      </c>
      <c r="G134">
        <v>98</v>
      </c>
      <c r="H134">
        <v>107</v>
      </c>
      <c r="I134" t="s">
        <v>236</v>
      </c>
      <c r="J134">
        <v>98</v>
      </c>
      <c r="P134" s="7" t="s">
        <v>230</v>
      </c>
      <c r="Q134" s="7" t="s">
        <v>230</v>
      </c>
    </row>
    <row r="135" spans="1:18" hidden="1" x14ac:dyDescent="0.25">
      <c r="A135" t="s">
        <v>237</v>
      </c>
      <c r="B135">
        <v>96210901</v>
      </c>
      <c r="D135">
        <v>55</v>
      </c>
      <c r="G135">
        <v>98</v>
      </c>
      <c r="I135" t="s">
        <v>94</v>
      </c>
      <c r="J135">
        <v>90</v>
      </c>
      <c r="P135" s="7" t="s">
        <v>238</v>
      </c>
      <c r="Q135" s="7" t="s">
        <v>238</v>
      </c>
    </row>
    <row r="136" spans="1:18" x14ac:dyDescent="0.25">
      <c r="A136" t="s">
        <v>239</v>
      </c>
      <c r="B136">
        <v>9578099</v>
      </c>
      <c r="D136">
        <v>85</v>
      </c>
      <c r="G136">
        <v>98</v>
      </c>
      <c r="H136">
        <v>60</v>
      </c>
      <c r="I136" t="s">
        <v>240</v>
      </c>
      <c r="J136">
        <v>98</v>
      </c>
      <c r="K136">
        <v>95</v>
      </c>
      <c r="L136" t="str">
        <f>IF(K136:K1134&lt;=79,"sweet",IF(K136:K1134&lt;=120,"normal",IF(K136:K1134&lt;=250,"high",IF(K136:K1134&lt;=1000,"very high"))))</f>
        <v>normal</v>
      </c>
      <c r="P136" s="7" t="s">
        <v>230</v>
      </c>
      <c r="Q136" s="7" t="s">
        <v>242</v>
      </c>
    </row>
    <row r="137" spans="1:18" hidden="1" x14ac:dyDescent="0.25">
      <c r="A137" t="s">
        <v>241</v>
      </c>
      <c r="B137">
        <v>9577233</v>
      </c>
      <c r="D137">
        <v>25</v>
      </c>
      <c r="G137">
        <v>99</v>
      </c>
      <c r="H137">
        <v>101</v>
      </c>
      <c r="I137" t="s">
        <v>124</v>
      </c>
      <c r="J137">
        <v>95</v>
      </c>
      <c r="P137" s="7" t="s">
        <v>242</v>
      </c>
      <c r="Q137" s="7" t="s">
        <v>242</v>
      </c>
    </row>
    <row r="138" spans="1:18" hidden="1" x14ac:dyDescent="0.25">
      <c r="A138" t="s">
        <v>243</v>
      </c>
      <c r="B138">
        <v>3732132</v>
      </c>
      <c r="D138">
        <v>57</v>
      </c>
      <c r="G138">
        <v>98</v>
      </c>
      <c r="H138">
        <v>65</v>
      </c>
      <c r="I138" s="3" t="s">
        <v>53</v>
      </c>
      <c r="J138">
        <v>63</v>
      </c>
      <c r="K138">
        <v>46</v>
      </c>
      <c r="O138" t="s">
        <v>977</v>
      </c>
      <c r="P138" s="7" t="s">
        <v>242</v>
      </c>
      <c r="Q138" s="7" t="s">
        <v>242</v>
      </c>
    </row>
    <row r="139" spans="1:18" x14ac:dyDescent="0.25">
      <c r="A139" t="s">
        <v>244</v>
      </c>
      <c r="B139">
        <v>94154722</v>
      </c>
      <c r="D139">
        <v>12</v>
      </c>
      <c r="G139">
        <v>98</v>
      </c>
      <c r="H139">
        <v>102</v>
      </c>
      <c r="I139" t="s">
        <v>245</v>
      </c>
      <c r="J139">
        <v>78</v>
      </c>
      <c r="K139">
        <v>80</v>
      </c>
      <c r="L139" t="str">
        <f>IF(K139:K1137&lt;=79,"sweet",IF(K139:K1137&lt;=120,"normal",IF(K139:K1137&lt;=250,"high",IF(K139:K1137&lt;=1000,"very high"))))</f>
        <v>normal</v>
      </c>
      <c r="P139" s="7" t="s">
        <v>246</v>
      </c>
      <c r="Q139" s="7" t="s">
        <v>242</v>
      </c>
    </row>
    <row r="140" spans="1:18" hidden="1" x14ac:dyDescent="0.25">
      <c r="A140" t="s">
        <v>247</v>
      </c>
      <c r="B140">
        <v>961165</v>
      </c>
      <c r="D140">
        <v>70</v>
      </c>
      <c r="G140">
        <v>98</v>
      </c>
      <c r="H140">
        <v>70</v>
      </c>
      <c r="I140" t="s">
        <v>62</v>
      </c>
      <c r="J140">
        <v>100</v>
      </c>
      <c r="K140">
        <v>73</v>
      </c>
      <c r="O140" t="s">
        <v>967</v>
      </c>
      <c r="P140" s="7" t="s">
        <v>242</v>
      </c>
      <c r="Q140" s="7">
        <v>44198</v>
      </c>
    </row>
    <row r="141" spans="1:18" x14ac:dyDescent="0.25">
      <c r="A141" t="s">
        <v>248</v>
      </c>
      <c r="B141">
        <v>9614633</v>
      </c>
      <c r="D141">
        <v>50</v>
      </c>
      <c r="G141">
        <v>98</v>
      </c>
      <c r="H141">
        <v>89</v>
      </c>
      <c r="I141" t="s">
        <v>6</v>
      </c>
      <c r="J141">
        <v>93</v>
      </c>
      <c r="K141">
        <v>119</v>
      </c>
      <c r="L141" t="str">
        <f>IF(K141:K1139&lt;=79,"sweet",IF(K141:K1139&lt;=120,"normal",IF(K141:K1139&lt;=250,"high",IF(K141:K1139&lt;=1000,"very high"))))</f>
        <v>normal</v>
      </c>
      <c r="P141" s="7">
        <v>44198</v>
      </c>
      <c r="Q141" s="7">
        <v>44198</v>
      </c>
    </row>
    <row r="142" spans="1:18" hidden="1" x14ac:dyDescent="0.25">
      <c r="A142" t="s">
        <v>165</v>
      </c>
      <c r="B142">
        <v>9616381</v>
      </c>
      <c r="D142">
        <v>60</v>
      </c>
      <c r="G142">
        <v>98</v>
      </c>
      <c r="I142" t="s">
        <v>249</v>
      </c>
      <c r="J142">
        <v>100</v>
      </c>
      <c r="O142" t="s">
        <v>967</v>
      </c>
      <c r="P142" s="7" t="s">
        <v>242</v>
      </c>
      <c r="Q142" s="7" t="s">
        <v>238</v>
      </c>
    </row>
    <row r="143" spans="1:18" x14ac:dyDescent="0.25">
      <c r="A143" t="s">
        <v>250</v>
      </c>
      <c r="B143">
        <v>315613</v>
      </c>
      <c r="D143">
        <v>65</v>
      </c>
      <c r="G143">
        <v>98</v>
      </c>
      <c r="H143">
        <v>76</v>
      </c>
      <c r="I143" t="s">
        <v>194</v>
      </c>
      <c r="J143">
        <v>94</v>
      </c>
      <c r="K143">
        <v>639</v>
      </c>
      <c r="L143" t="str">
        <f t="shared" ref="L143:L144" si="18">IF(K143:K1141&lt;=79,"sweet",IF(K143:K1141&lt;=120,"normal",IF(K143:K1141&lt;=250,"high",IF(K143:K1141&lt;=1000,"very high"))))</f>
        <v>very high</v>
      </c>
      <c r="P143" s="7" t="s">
        <v>238</v>
      </c>
      <c r="Q143" s="7" t="s">
        <v>238</v>
      </c>
      <c r="R143" t="s">
        <v>41</v>
      </c>
    </row>
    <row r="144" spans="1:18" x14ac:dyDescent="0.25">
      <c r="A144" t="s">
        <v>251</v>
      </c>
      <c r="B144">
        <v>9692233</v>
      </c>
      <c r="D144">
        <v>70</v>
      </c>
      <c r="G144">
        <v>98</v>
      </c>
      <c r="H144">
        <v>85</v>
      </c>
      <c r="I144" t="s">
        <v>77</v>
      </c>
      <c r="J144">
        <v>89</v>
      </c>
      <c r="K144">
        <v>330</v>
      </c>
      <c r="L144" t="str">
        <f t="shared" si="18"/>
        <v>very high</v>
      </c>
      <c r="P144" s="7" t="s">
        <v>238</v>
      </c>
      <c r="Q144" s="7" t="s">
        <v>238</v>
      </c>
      <c r="R144" t="s">
        <v>41</v>
      </c>
    </row>
    <row r="145" spans="1:18" hidden="1" x14ac:dyDescent="0.25">
      <c r="A145" t="s">
        <v>252</v>
      </c>
      <c r="B145">
        <v>9621628</v>
      </c>
      <c r="D145">
        <v>25</v>
      </c>
      <c r="G145">
        <v>98</v>
      </c>
      <c r="H145">
        <v>76</v>
      </c>
      <c r="I145" t="s">
        <v>68</v>
      </c>
      <c r="O145" t="s">
        <v>968</v>
      </c>
      <c r="P145" s="7" t="s">
        <v>238</v>
      </c>
      <c r="Q145" s="7" t="s">
        <v>238</v>
      </c>
    </row>
    <row r="146" spans="1:18" x14ac:dyDescent="0.25">
      <c r="A146" t="s">
        <v>253</v>
      </c>
      <c r="B146">
        <v>9627253</v>
      </c>
      <c r="D146">
        <v>75</v>
      </c>
      <c r="G146">
        <v>98</v>
      </c>
      <c r="H146">
        <v>120</v>
      </c>
      <c r="I146" t="s">
        <v>96</v>
      </c>
      <c r="J146">
        <v>92</v>
      </c>
      <c r="K146">
        <v>183</v>
      </c>
      <c r="L146" t="str">
        <f>IF(K146:K1144&lt;=79,"sweet",IF(K146:K1144&lt;=120,"normal",IF(K146:K1144&lt;=250,"high",IF(K146:K1144&lt;=1000,"very high"))))</f>
        <v>high</v>
      </c>
      <c r="P146" s="7" t="s">
        <v>238</v>
      </c>
      <c r="Q146" s="7" t="s">
        <v>238</v>
      </c>
    </row>
    <row r="147" spans="1:18" hidden="1" x14ac:dyDescent="0.25">
      <c r="A147" t="s">
        <v>127</v>
      </c>
      <c r="B147">
        <v>29621</v>
      </c>
      <c r="D147">
        <v>89</v>
      </c>
      <c r="G147">
        <v>98</v>
      </c>
      <c r="H147">
        <v>89</v>
      </c>
      <c r="J147">
        <v>98</v>
      </c>
      <c r="O147" t="s">
        <v>967</v>
      </c>
      <c r="P147" s="7" t="s">
        <v>238</v>
      </c>
      <c r="Q147" s="7" t="s">
        <v>238</v>
      </c>
    </row>
    <row r="148" spans="1:18" hidden="1" x14ac:dyDescent="0.25">
      <c r="A148" t="s">
        <v>39</v>
      </c>
      <c r="B148">
        <v>9628738</v>
      </c>
      <c r="D148">
        <v>50</v>
      </c>
      <c r="G148">
        <v>98</v>
      </c>
      <c r="H148">
        <v>70</v>
      </c>
      <c r="I148" t="s">
        <v>254</v>
      </c>
      <c r="K148">
        <v>45</v>
      </c>
      <c r="O148" t="s">
        <v>967</v>
      </c>
      <c r="P148" s="7">
        <v>44198</v>
      </c>
      <c r="Q148" s="7">
        <v>44198</v>
      </c>
    </row>
    <row r="149" spans="1:18" hidden="1" x14ac:dyDescent="0.25">
      <c r="A149" t="s">
        <v>255</v>
      </c>
      <c r="B149">
        <v>9630783</v>
      </c>
      <c r="D149">
        <v>55</v>
      </c>
      <c r="G149">
        <v>98</v>
      </c>
      <c r="K149">
        <v>31</v>
      </c>
      <c r="P149" s="7">
        <v>44198</v>
      </c>
      <c r="Q149" s="7">
        <v>44198</v>
      </c>
    </row>
    <row r="150" spans="1:18" hidden="1" x14ac:dyDescent="0.25">
      <c r="A150" t="s">
        <v>256</v>
      </c>
      <c r="B150">
        <v>9877251</v>
      </c>
      <c r="D150">
        <v>60</v>
      </c>
      <c r="G150">
        <v>98</v>
      </c>
      <c r="P150" s="7">
        <v>44198</v>
      </c>
      <c r="Q150" s="7">
        <v>44198</v>
      </c>
    </row>
    <row r="151" spans="1:18" x14ac:dyDescent="0.25">
      <c r="A151" t="s">
        <v>257</v>
      </c>
      <c r="B151">
        <v>9670549</v>
      </c>
      <c r="D151">
        <v>70</v>
      </c>
      <c r="G151">
        <v>98</v>
      </c>
      <c r="H151">
        <v>89</v>
      </c>
      <c r="I151" t="s">
        <v>25</v>
      </c>
      <c r="J151">
        <v>99</v>
      </c>
      <c r="K151">
        <v>99</v>
      </c>
      <c r="L151" t="str">
        <f t="shared" ref="L151:L153" si="19">IF(K151:K1149&lt;=79,"sweet",IF(K151:K1149&lt;=120,"normal",IF(K151:K1149&lt;=250,"high",IF(K151:K1149&lt;=1000,"very high"))))</f>
        <v>normal</v>
      </c>
      <c r="P151" s="7">
        <v>44198</v>
      </c>
      <c r="Q151" s="7">
        <v>44198</v>
      </c>
    </row>
    <row r="152" spans="1:18" x14ac:dyDescent="0.25">
      <c r="A152" t="s">
        <v>258</v>
      </c>
      <c r="B152">
        <v>96625491</v>
      </c>
      <c r="D152">
        <v>35</v>
      </c>
      <c r="G152">
        <v>98</v>
      </c>
      <c r="H152">
        <v>105</v>
      </c>
      <c r="I152" t="s">
        <v>259</v>
      </c>
      <c r="J152">
        <v>100</v>
      </c>
      <c r="K152">
        <v>108</v>
      </c>
      <c r="L152" t="str">
        <f t="shared" si="19"/>
        <v>normal</v>
      </c>
      <c r="P152" s="7">
        <v>44198</v>
      </c>
      <c r="Q152" s="7">
        <v>44198</v>
      </c>
    </row>
    <row r="153" spans="1:18" x14ac:dyDescent="0.25">
      <c r="A153" t="s">
        <v>84</v>
      </c>
      <c r="B153">
        <v>7423</v>
      </c>
      <c r="D153">
        <v>60</v>
      </c>
      <c r="G153">
        <v>98</v>
      </c>
      <c r="H153">
        <v>70</v>
      </c>
      <c r="I153" t="s">
        <v>260</v>
      </c>
      <c r="J153">
        <v>98</v>
      </c>
      <c r="K153">
        <v>112</v>
      </c>
      <c r="L153" t="str">
        <f t="shared" si="19"/>
        <v>normal</v>
      </c>
      <c r="O153" t="s">
        <v>977</v>
      </c>
      <c r="P153" s="7">
        <v>44229</v>
      </c>
      <c r="Q153" s="7">
        <v>44229</v>
      </c>
    </row>
    <row r="154" spans="1:18" hidden="1" x14ac:dyDescent="0.25">
      <c r="A154" t="s">
        <v>261</v>
      </c>
      <c r="B154">
        <v>167018</v>
      </c>
      <c r="D154">
        <v>25</v>
      </c>
      <c r="G154">
        <v>98</v>
      </c>
      <c r="H154">
        <v>105</v>
      </c>
      <c r="I154" t="s">
        <v>262</v>
      </c>
      <c r="J154">
        <v>80</v>
      </c>
      <c r="P154" s="7">
        <v>44198</v>
      </c>
      <c r="Q154" s="7">
        <v>44229</v>
      </c>
    </row>
    <row r="155" spans="1:18" x14ac:dyDescent="0.25">
      <c r="A155" t="s">
        <v>263</v>
      </c>
      <c r="B155">
        <v>9677330</v>
      </c>
      <c r="D155">
        <v>70</v>
      </c>
      <c r="G155">
        <v>98</v>
      </c>
      <c r="H155">
        <v>102</v>
      </c>
      <c r="I155" t="s">
        <v>980</v>
      </c>
      <c r="J155">
        <v>60</v>
      </c>
      <c r="K155">
        <v>260</v>
      </c>
      <c r="L155" t="str">
        <f t="shared" ref="L155:L157" si="20">IF(K155:K1153&lt;=79,"sweet",IF(K155:K1153&lt;=120,"normal",IF(K155:K1153&lt;=250,"high",IF(K155:K1153&lt;=1000,"very high"))))</f>
        <v>very high</v>
      </c>
      <c r="P155" s="7">
        <v>44229</v>
      </c>
      <c r="Q155" s="7">
        <v>44229</v>
      </c>
    </row>
    <row r="156" spans="1:18" x14ac:dyDescent="0.25">
      <c r="A156" t="s">
        <v>265</v>
      </c>
      <c r="B156">
        <v>972014</v>
      </c>
      <c r="D156">
        <v>80</v>
      </c>
      <c r="G156">
        <v>98</v>
      </c>
      <c r="H156">
        <v>89</v>
      </c>
      <c r="I156" t="s">
        <v>194</v>
      </c>
      <c r="J156">
        <v>60</v>
      </c>
      <c r="K156">
        <v>80</v>
      </c>
      <c r="L156" t="str">
        <f t="shared" si="20"/>
        <v>normal</v>
      </c>
      <c r="P156" s="7">
        <v>44229</v>
      </c>
      <c r="Q156" s="7">
        <v>44229</v>
      </c>
    </row>
    <row r="157" spans="1:18" x14ac:dyDescent="0.25">
      <c r="A157" t="s">
        <v>237</v>
      </c>
      <c r="B157">
        <v>971962251</v>
      </c>
      <c r="D157">
        <v>52</v>
      </c>
      <c r="G157">
        <v>98</v>
      </c>
      <c r="H157">
        <v>76</v>
      </c>
      <c r="I157" t="s">
        <v>268</v>
      </c>
      <c r="J157">
        <v>98</v>
      </c>
      <c r="K157">
        <v>104</v>
      </c>
      <c r="L157" t="str">
        <f t="shared" si="20"/>
        <v>normal</v>
      </c>
      <c r="P157" s="7">
        <v>44257</v>
      </c>
      <c r="Q157" s="7">
        <v>44257</v>
      </c>
    </row>
    <row r="158" spans="1:18" hidden="1" x14ac:dyDescent="0.25">
      <c r="A158" t="s">
        <v>266</v>
      </c>
      <c r="B158">
        <v>972360</v>
      </c>
      <c r="D158">
        <v>60</v>
      </c>
      <c r="G158">
        <v>98</v>
      </c>
      <c r="H158">
        <v>85</v>
      </c>
      <c r="I158" t="s">
        <v>267</v>
      </c>
      <c r="J158">
        <v>99</v>
      </c>
      <c r="K158">
        <v>54</v>
      </c>
      <c r="P158" s="7">
        <v>44257</v>
      </c>
      <c r="Q158" s="7">
        <v>44257</v>
      </c>
    </row>
    <row r="159" spans="1:18" x14ac:dyDescent="0.25">
      <c r="A159" t="s">
        <v>48</v>
      </c>
      <c r="B159">
        <v>9015222</v>
      </c>
      <c r="D159">
        <v>60</v>
      </c>
      <c r="G159">
        <v>98</v>
      </c>
      <c r="H159">
        <v>120</v>
      </c>
      <c r="I159" t="s">
        <v>47</v>
      </c>
      <c r="J159">
        <v>58</v>
      </c>
      <c r="K159">
        <v>553</v>
      </c>
      <c r="L159" t="str">
        <f t="shared" ref="L159:L161" si="21">IF(K159:K1157&lt;=79,"sweet",IF(K159:K1157&lt;=120,"normal",IF(K159:K1157&lt;=250,"high",IF(K159:K1157&lt;=1000,"very high"))))</f>
        <v>very high</v>
      </c>
      <c r="P159" s="7">
        <v>44257</v>
      </c>
      <c r="Q159" s="7">
        <v>44288</v>
      </c>
      <c r="R159" t="s">
        <v>41</v>
      </c>
    </row>
    <row r="160" spans="1:18" x14ac:dyDescent="0.25">
      <c r="A160" t="s">
        <v>90</v>
      </c>
      <c r="B160">
        <v>25328</v>
      </c>
      <c r="D160">
        <v>55</v>
      </c>
      <c r="G160">
        <v>98</v>
      </c>
      <c r="H160">
        <v>88</v>
      </c>
      <c r="I160" t="s">
        <v>268</v>
      </c>
      <c r="J160">
        <v>71</v>
      </c>
      <c r="K160">
        <v>80</v>
      </c>
      <c r="L160" t="str">
        <f t="shared" si="21"/>
        <v>normal</v>
      </c>
      <c r="P160" s="7">
        <v>44288</v>
      </c>
      <c r="Q160" s="7">
        <v>44288</v>
      </c>
    </row>
    <row r="161" spans="1:18" x14ac:dyDescent="0.25">
      <c r="A161" t="s">
        <v>269</v>
      </c>
      <c r="B161">
        <v>9802337</v>
      </c>
      <c r="D161">
        <v>53</v>
      </c>
      <c r="G161">
        <v>98</v>
      </c>
      <c r="H161">
        <v>120</v>
      </c>
      <c r="I161" t="s">
        <v>25</v>
      </c>
      <c r="J161">
        <v>181</v>
      </c>
      <c r="K161">
        <v>296</v>
      </c>
      <c r="L161" t="str">
        <f t="shared" si="21"/>
        <v>very high</v>
      </c>
      <c r="N161" t="s">
        <v>974</v>
      </c>
      <c r="P161" s="7">
        <v>44288</v>
      </c>
      <c r="Q161" s="7">
        <v>44288</v>
      </c>
    </row>
    <row r="162" spans="1:18" hidden="1" x14ac:dyDescent="0.25">
      <c r="A162" t="s">
        <v>270</v>
      </c>
      <c r="B162">
        <v>9806300</v>
      </c>
      <c r="D162">
        <v>42</v>
      </c>
      <c r="G162">
        <v>98</v>
      </c>
      <c r="H162">
        <v>68</v>
      </c>
      <c r="I162" t="s">
        <v>43</v>
      </c>
      <c r="J162">
        <v>70</v>
      </c>
      <c r="P162" s="7">
        <v>44288</v>
      </c>
      <c r="Q162" s="7">
        <v>44288</v>
      </c>
    </row>
    <row r="163" spans="1:18" x14ac:dyDescent="0.25">
      <c r="A163" t="s">
        <v>271</v>
      </c>
      <c r="B163">
        <v>962247</v>
      </c>
      <c r="D163">
        <v>30</v>
      </c>
      <c r="G163">
        <v>98</v>
      </c>
      <c r="H163">
        <v>86</v>
      </c>
      <c r="I163" t="s">
        <v>94</v>
      </c>
      <c r="J163">
        <v>95</v>
      </c>
      <c r="K163">
        <v>119</v>
      </c>
      <c r="L163" t="str">
        <f>IF(K163:K1161&lt;=79,"sweet",IF(K163:K1161&lt;=120,"normal",IF(K163:K1161&lt;=250,"high",IF(K163:K1161&lt;=1000,"very high"))))</f>
        <v>normal</v>
      </c>
      <c r="P163" s="7" t="s">
        <v>238</v>
      </c>
      <c r="Q163" s="7">
        <v>44318</v>
      </c>
    </row>
    <row r="164" spans="1:18" hidden="1" x14ac:dyDescent="0.25">
      <c r="A164" t="s">
        <v>272</v>
      </c>
      <c r="B164">
        <v>96824319</v>
      </c>
      <c r="D164">
        <v>28</v>
      </c>
      <c r="G164">
        <v>98</v>
      </c>
      <c r="H164">
        <v>117</v>
      </c>
      <c r="I164" t="s">
        <v>273</v>
      </c>
      <c r="J164">
        <v>94</v>
      </c>
      <c r="P164" s="7">
        <v>44229</v>
      </c>
      <c r="Q164" s="7">
        <v>44318</v>
      </c>
    </row>
    <row r="165" spans="1:18" x14ac:dyDescent="0.25">
      <c r="A165" t="s">
        <v>274</v>
      </c>
      <c r="B165">
        <v>98049501</v>
      </c>
      <c r="D165">
        <v>60</v>
      </c>
      <c r="G165">
        <v>98</v>
      </c>
      <c r="H165">
        <v>88</v>
      </c>
      <c r="I165" t="s">
        <v>79</v>
      </c>
      <c r="J165">
        <v>98</v>
      </c>
      <c r="K165">
        <v>149</v>
      </c>
      <c r="L165" t="str">
        <f t="shared" ref="L165:L167" si="22">IF(K165:K1163&lt;=79,"sweet",IF(K165:K1163&lt;=120,"normal",IF(K165:K1163&lt;=250,"high",IF(K165:K1163&lt;=1000,"very high"))))</f>
        <v>high</v>
      </c>
      <c r="P165" s="7">
        <v>44288</v>
      </c>
      <c r="Q165" s="7">
        <v>44318</v>
      </c>
    </row>
    <row r="166" spans="1:18" x14ac:dyDescent="0.25">
      <c r="A166" t="s">
        <v>275</v>
      </c>
      <c r="B166">
        <v>9216517</v>
      </c>
      <c r="D166">
        <v>35</v>
      </c>
      <c r="G166">
        <v>98</v>
      </c>
      <c r="H166">
        <v>89</v>
      </c>
      <c r="I166" t="s">
        <v>979</v>
      </c>
      <c r="J166">
        <v>25</v>
      </c>
      <c r="K166">
        <v>200</v>
      </c>
      <c r="L166" t="str">
        <f t="shared" si="22"/>
        <v>high</v>
      </c>
      <c r="N166" t="s">
        <v>972</v>
      </c>
      <c r="P166" s="7">
        <v>44318</v>
      </c>
      <c r="Q166" s="7">
        <v>44318</v>
      </c>
    </row>
    <row r="167" spans="1:18" x14ac:dyDescent="0.25">
      <c r="A167" t="s">
        <v>276</v>
      </c>
      <c r="B167">
        <v>9813158</v>
      </c>
      <c r="D167">
        <v>80</v>
      </c>
      <c r="G167">
        <v>98</v>
      </c>
      <c r="H167">
        <v>91</v>
      </c>
      <c r="I167" t="s">
        <v>96</v>
      </c>
      <c r="J167">
        <v>78</v>
      </c>
      <c r="K167">
        <v>106</v>
      </c>
      <c r="L167" t="str">
        <f t="shared" si="22"/>
        <v>normal</v>
      </c>
      <c r="O167" t="s">
        <v>968</v>
      </c>
      <c r="P167" s="7">
        <v>44318</v>
      </c>
      <c r="Q167" s="7">
        <v>44318</v>
      </c>
    </row>
    <row r="168" spans="1:18" hidden="1" x14ac:dyDescent="0.25">
      <c r="A168" t="s">
        <v>277</v>
      </c>
      <c r="B168">
        <v>9812827</v>
      </c>
      <c r="D168">
        <v>35</v>
      </c>
      <c r="G168">
        <v>98</v>
      </c>
      <c r="H168">
        <v>89</v>
      </c>
      <c r="I168" t="s">
        <v>79</v>
      </c>
      <c r="P168" s="7">
        <v>44318</v>
      </c>
      <c r="Q168" s="7">
        <v>44318</v>
      </c>
    </row>
    <row r="169" spans="1:18" x14ac:dyDescent="0.25">
      <c r="A169" t="s">
        <v>278</v>
      </c>
      <c r="B169">
        <v>9805819</v>
      </c>
      <c r="D169">
        <v>37</v>
      </c>
      <c r="G169">
        <v>98</v>
      </c>
      <c r="H169">
        <v>114</v>
      </c>
      <c r="I169" t="s">
        <v>279</v>
      </c>
      <c r="J169">
        <v>99</v>
      </c>
      <c r="K169">
        <v>102</v>
      </c>
      <c r="L169" t="str">
        <f>IF(K169:K1167&lt;=79,"sweet",IF(K169:K1167&lt;=120,"normal",IF(K169:K1167&lt;=250,"high",IF(K169:K1167&lt;=1000,"very high"))))</f>
        <v>normal</v>
      </c>
      <c r="O169" t="s">
        <v>967</v>
      </c>
      <c r="P169" s="7">
        <v>44318</v>
      </c>
      <c r="Q169" s="7">
        <v>44318</v>
      </c>
    </row>
    <row r="170" spans="1:18" hidden="1" x14ac:dyDescent="0.25">
      <c r="A170" t="s">
        <v>280</v>
      </c>
      <c r="B170">
        <v>9815901</v>
      </c>
      <c r="D170">
        <v>40</v>
      </c>
      <c r="G170">
        <v>98</v>
      </c>
      <c r="H170">
        <v>82</v>
      </c>
      <c r="I170" t="s">
        <v>6</v>
      </c>
      <c r="J170">
        <v>71</v>
      </c>
      <c r="O170" t="s">
        <v>967</v>
      </c>
      <c r="P170" s="7">
        <v>44318</v>
      </c>
      <c r="Q170" s="7">
        <v>44318</v>
      </c>
    </row>
    <row r="171" spans="1:18" hidden="1" x14ac:dyDescent="0.25">
      <c r="A171" t="s">
        <v>281</v>
      </c>
      <c r="B171">
        <v>2981074</v>
      </c>
      <c r="D171">
        <v>55</v>
      </c>
      <c r="G171">
        <v>98</v>
      </c>
      <c r="H171">
        <v>69</v>
      </c>
      <c r="I171" t="s">
        <v>0</v>
      </c>
      <c r="J171">
        <v>98</v>
      </c>
      <c r="P171" s="7">
        <v>44318</v>
      </c>
      <c r="Q171" s="7">
        <v>44349</v>
      </c>
    </row>
    <row r="172" spans="1:18" x14ac:dyDescent="0.25">
      <c r="A172" t="s">
        <v>282</v>
      </c>
      <c r="B172">
        <v>97637</v>
      </c>
      <c r="D172">
        <v>35</v>
      </c>
      <c r="G172">
        <v>98</v>
      </c>
      <c r="H172">
        <v>102</v>
      </c>
      <c r="I172" t="s">
        <v>96</v>
      </c>
      <c r="J172">
        <v>87</v>
      </c>
      <c r="K172">
        <v>504</v>
      </c>
      <c r="L172" t="str">
        <f t="shared" ref="L172:L175" si="23">IF(K172:K1170&lt;=79,"sweet",IF(K172:K1170&lt;=120,"normal",IF(K172:K1170&lt;=250,"high",IF(K172:K1170&lt;=1000,"very high"))))</f>
        <v>very high</v>
      </c>
      <c r="P172" s="7">
        <v>44349</v>
      </c>
      <c r="Q172" s="7">
        <v>44349</v>
      </c>
      <c r="R172" t="s">
        <v>41</v>
      </c>
    </row>
    <row r="173" spans="1:18" x14ac:dyDescent="0.25">
      <c r="A173" t="s">
        <v>283</v>
      </c>
      <c r="B173">
        <v>9820109</v>
      </c>
      <c r="D173">
        <v>45</v>
      </c>
      <c r="G173">
        <v>98</v>
      </c>
      <c r="H173">
        <v>44</v>
      </c>
      <c r="I173" t="s">
        <v>74</v>
      </c>
      <c r="J173">
        <v>51</v>
      </c>
      <c r="K173">
        <v>139</v>
      </c>
      <c r="L173" t="str">
        <f t="shared" si="23"/>
        <v>high</v>
      </c>
      <c r="P173" s="7">
        <v>44349</v>
      </c>
      <c r="Q173" s="7">
        <v>44349</v>
      </c>
    </row>
    <row r="174" spans="1:18" x14ac:dyDescent="0.25">
      <c r="A174" t="s">
        <v>284</v>
      </c>
      <c r="B174">
        <v>9877656</v>
      </c>
      <c r="D174">
        <v>50</v>
      </c>
      <c r="G174">
        <v>98</v>
      </c>
      <c r="H174">
        <v>72</v>
      </c>
      <c r="I174" t="s">
        <v>6</v>
      </c>
      <c r="J174">
        <v>89</v>
      </c>
      <c r="K174">
        <v>150</v>
      </c>
      <c r="L174" t="str">
        <f t="shared" si="23"/>
        <v>high</v>
      </c>
      <c r="P174" s="7">
        <v>44349</v>
      </c>
      <c r="Q174" s="7">
        <v>44349</v>
      </c>
    </row>
    <row r="175" spans="1:18" x14ac:dyDescent="0.25">
      <c r="A175" t="s">
        <v>285</v>
      </c>
      <c r="B175">
        <v>9821461</v>
      </c>
      <c r="D175">
        <v>65</v>
      </c>
      <c r="G175">
        <v>98</v>
      </c>
      <c r="H175">
        <v>71</v>
      </c>
      <c r="I175" t="s">
        <v>49</v>
      </c>
      <c r="J175">
        <v>91</v>
      </c>
      <c r="K175">
        <v>302</v>
      </c>
      <c r="L175" t="str">
        <f t="shared" si="23"/>
        <v>very high</v>
      </c>
      <c r="O175" t="s">
        <v>977</v>
      </c>
      <c r="P175" s="7">
        <v>44349</v>
      </c>
      <c r="Q175" s="7">
        <v>44349</v>
      </c>
    </row>
    <row r="176" spans="1:18" hidden="1" x14ac:dyDescent="0.25">
      <c r="A176" t="s">
        <v>286</v>
      </c>
      <c r="B176">
        <v>98211140</v>
      </c>
      <c r="D176">
        <v>70</v>
      </c>
      <c r="G176">
        <v>98</v>
      </c>
      <c r="H176">
        <v>72</v>
      </c>
      <c r="I176" t="s">
        <v>6</v>
      </c>
      <c r="J176">
        <v>98</v>
      </c>
      <c r="K176">
        <v>72</v>
      </c>
      <c r="P176" s="7">
        <v>44349</v>
      </c>
      <c r="Q176" s="7">
        <v>44349</v>
      </c>
    </row>
    <row r="177" spans="1:17" x14ac:dyDescent="0.25">
      <c r="A177" t="s">
        <v>287</v>
      </c>
      <c r="B177">
        <v>9819252</v>
      </c>
      <c r="D177">
        <v>30</v>
      </c>
      <c r="G177">
        <v>98</v>
      </c>
      <c r="H177">
        <v>123</v>
      </c>
      <c r="I177" t="s">
        <v>288</v>
      </c>
      <c r="J177">
        <v>90</v>
      </c>
      <c r="K177">
        <v>142</v>
      </c>
      <c r="L177" t="str">
        <f t="shared" ref="L177:L178" si="24">IF(K177:K1175&lt;=79,"sweet",IF(K177:K1175&lt;=120,"normal",IF(K177:K1175&lt;=250,"high",IF(K177:K1175&lt;=1000,"very high"))))</f>
        <v>high</v>
      </c>
      <c r="O177" t="s">
        <v>967</v>
      </c>
      <c r="P177" s="7">
        <v>44349</v>
      </c>
      <c r="Q177" s="7">
        <v>44349</v>
      </c>
    </row>
    <row r="178" spans="1:17" x14ac:dyDescent="0.25">
      <c r="A178" t="s">
        <v>289</v>
      </c>
      <c r="B178">
        <v>299632</v>
      </c>
      <c r="D178">
        <v>33</v>
      </c>
      <c r="G178">
        <v>98</v>
      </c>
      <c r="H178">
        <v>117</v>
      </c>
      <c r="I178" t="s">
        <v>290</v>
      </c>
      <c r="J178">
        <v>90</v>
      </c>
      <c r="K178">
        <v>137</v>
      </c>
      <c r="L178" t="str">
        <f t="shared" si="24"/>
        <v>high</v>
      </c>
      <c r="P178" s="7">
        <v>44349</v>
      </c>
      <c r="Q178" s="7">
        <v>44349</v>
      </c>
    </row>
    <row r="179" spans="1:17" hidden="1" x14ac:dyDescent="0.25">
      <c r="A179" t="s">
        <v>291</v>
      </c>
      <c r="B179">
        <v>299632</v>
      </c>
      <c r="D179">
        <v>26</v>
      </c>
      <c r="G179">
        <v>98</v>
      </c>
      <c r="H179">
        <v>98</v>
      </c>
      <c r="I179" t="s">
        <v>53</v>
      </c>
      <c r="K179">
        <v>60</v>
      </c>
      <c r="N179" t="s">
        <v>975</v>
      </c>
      <c r="O179" t="s">
        <v>967</v>
      </c>
      <c r="P179" s="7">
        <v>44349</v>
      </c>
      <c r="Q179" s="7">
        <v>44349</v>
      </c>
    </row>
    <row r="180" spans="1:17" x14ac:dyDescent="0.25">
      <c r="A180" t="s">
        <v>292</v>
      </c>
      <c r="B180">
        <v>984911</v>
      </c>
      <c r="D180">
        <v>50</v>
      </c>
      <c r="G180">
        <v>98</v>
      </c>
      <c r="H180">
        <v>90</v>
      </c>
      <c r="I180" t="s">
        <v>49</v>
      </c>
      <c r="J180">
        <v>97</v>
      </c>
      <c r="K180">
        <v>134</v>
      </c>
      <c r="L180" t="str">
        <f>IF(K180:K1178&lt;=79,"sweet",IF(K180:K1178&lt;=120,"normal",IF(K180:K1178&lt;=250,"high",IF(K180:K1178&lt;=1000,"very high"))))</f>
        <v>high</v>
      </c>
      <c r="P180" s="7">
        <v>44349</v>
      </c>
      <c r="Q180" s="7">
        <v>44349</v>
      </c>
    </row>
    <row r="181" spans="1:17" hidden="1" x14ac:dyDescent="0.25">
      <c r="A181" t="s">
        <v>293</v>
      </c>
      <c r="B181">
        <v>986560</v>
      </c>
      <c r="D181">
        <v>50</v>
      </c>
      <c r="G181">
        <v>98</v>
      </c>
      <c r="H181">
        <v>86</v>
      </c>
      <c r="I181" t="s">
        <v>6</v>
      </c>
      <c r="P181" s="7">
        <v>44379</v>
      </c>
      <c r="Q181" s="7">
        <v>44379</v>
      </c>
    </row>
    <row r="182" spans="1:17" x14ac:dyDescent="0.25">
      <c r="A182" t="s">
        <v>294</v>
      </c>
      <c r="B182">
        <v>972743601</v>
      </c>
      <c r="D182">
        <v>55</v>
      </c>
      <c r="G182">
        <v>102</v>
      </c>
      <c r="H182">
        <v>98</v>
      </c>
      <c r="I182" t="s">
        <v>295</v>
      </c>
      <c r="J182">
        <v>94</v>
      </c>
      <c r="K182">
        <v>92</v>
      </c>
      <c r="L182" t="str">
        <f t="shared" ref="L182:L184" si="25">IF(K182:K1180&lt;=79,"sweet",IF(K182:K1180&lt;=120,"normal",IF(K182:K1180&lt;=250,"high",IF(K182:K1180&lt;=1000,"very high"))))</f>
        <v>normal</v>
      </c>
      <c r="O182" t="s">
        <v>968</v>
      </c>
      <c r="P182" s="7" t="s">
        <v>238</v>
      </c>
      <c r="Q182" s="7">
        <v>44379</v>
      </c>
    </row>
    <row r="183" spans="1:17" x14ac:dyDescent="0.25">
      <c r="A183" t="s">
        <v>207</v>
      </c>
      <c r="B183">
        <v>98547072</v>
      </c>
      <c r="D183">
        <v>65</v>
      </c>
      <c r="G183">
        <v>98</v>
      </c>
      <c r="H183">
        <v>83</v>
      </c>
      <c r="I183" t="s">
        <v>296</v>
      </c>
      <c r="J183">
        <v>100</v>
      </c>
      <c r="K183">
        <v>104</v>
      </c>
      <c r="L183" t="str">
        <f t="shared" si="25"/>
        <v>normal</v>
      </c>
      <c r="P183" s="7">
        <v>44349</v>
      </c>
      <c r="Q183" s="7">
        <v>44379</v>
      </c>
    </row>
    <row r="184" spans="1:17" x14ac:dyDescent="0.25">
      <c r="A184" t="s">
        <v>297</v>
      </c>
      <c r="B184">
        <v>9838167</v>
      </c>
      <c r="D184">
        <v>60</v>
      </c>
      <c r="G184">
        <v>98</v>
      </c>
      <c r="H184">
        <v>88</v>
      </c>
      <c r="I184" t="s">
        <v>298</v>
      </c>
      <c r="J184">
        <v>102</v>
      </c>
      <c r="K184">
        <v>189</v>
      </c>
      <c r="L184" t="str">
        <f t="shared" si="25"/>
        <v>high</v>
      </c>
      <c r="O184" t="s">
        <v>967</v>
      </c>
      <c r="P184" s="7">
        <v>44349</v>
      </c>
      <c r="Q184" s="7">
        <v>44379</v>
      </c>
    </row>
    <row r="185" spans="1:17" hidden="1" x14ac:dyDescent="0.25">
      <c r="A185" t="s">
        <v>299</v>
      </c>
      <c r="B185">
        <v>97629</v>
      </c>
      <c r="D185">
        <v>60</v>
      </c>
      <c r="G185">
        <v>98</v>
      </c>
      <c r="H185">
        <v>95</v>
      </c>
      <c r="I185" t="s">
        <v>194</v>
      </c>
      <c r="J185">
        <v>24</v>
      </c>
      <c r="P185" s="7">
        <v>44379</v>
      </c>
      <c r="Q185" s="7">
        <v>44379</v>
      </c>
    </row>
    <row r="186" spans="1:17" x14ac:dyDescent="0.25">
      <c r="A186" t="s">
        <v>300</v>
      </c>
      <c r="B186">
        <v>9862133</v>
      </c>
      <c r="D186">
        <v>45</v>
      </c>
      <c r="G186">
        <v>98</v>
      </c>
      <c r="H186">
        <v>79</v>
      </c>
      <c r="I186" t="s">
        <v>301</v>
      </c>
      <c r="J186">
        <v>98</v>
      </c>
      <c r="K186">
        <v>252</v>
      </c>
      <c r="L186" t="str">
        <f t="shared" ref="L186:L187" si="26">IF(K186:K1184&lt;=79,"sweet",IF(K186:K1184&lt;=120,"normal",IF(K186:K1184&lt;=250,"high",IF(K186:K1184&lt;=1000,"very high"))))</f>
        <v>very high</v>
      </c>
      <c r="P186" s="7">
        <v>44349</v>
      </c>
      <c r="Q186" s="7">
        <v>44379</v>
      </c>
    </row>
    <row r="187" spans="1:17" x14ac:dyDescent="0.25">
      <c r="A187" t="s">
        <v>48</v>
      </c>
      <c r="B187">
        <v>9815442</v>
      </c>
      <c r="D187">
        <v>27</v>
      </c>
      <c r="G187">
        <v>98</v>
      </c>
      <c r="H187">
        <v>80</v>
      </c>
      <c r="I187" t="s">
        <v>302</v>
      </c>
      <c r="J187">
        <v>80</v>
      </c>
      <c r="K187">
        <v>96</v>
      </c>
      <c r="L187" t="str">
        <f t="shared" si="26"/>
        <v>normal</v>
      </c>
      <c r="P187" s="7">
        <v>44318</v>
      </c>
      <c r="Q187" s="7">
        <v>44379</v>
      </c>
    </row>
    <row r="188" spans="1:17" hidden="1" x14ac:dyDescent="0.25">
      <c r="A188" t="s">
        <v>303</v>
      </c>
      <c r="B188">
        <v>9861780</v>
      </c>
      <c r="D188">
        <v>50</v>
      </c>
      <c r="G188">
        <v>98</v>
      </c>
      <c r="H188">
        <v>88</v>
      </c>
      <c r="I188" t="s">
        <v>304</v>
      </c>
      <c r="P188" s="7">
        <v>44349</v>
      </c>
      <c r="Q188" s="7">
        <v>44379</v>
      </c>
    </row>
    <row r="189" spans="1:17" x14ac:dyDescent="0.25">
      <c r="A189" t="s">
        <v>305</v>
      </c>
      <c r="B189">
        <v>256399</v>
      </c>
      <c r="C189" t="s">
        <v>306</v>
      </c>
      <c r="D189">
        <v>26</v>
      </c>
      <c r="G189">
        <v>98</v>
      </c>
      <c r="H189">
        <v>81</v>
      </c>
      <c r="I189" t="s">
        <v>77</v>
      </c>
      <c r="J189">
        <v>89</v>
      </c>
      <c r="K189">
        <v>121</v>
      </c>
      <c r="L189" t="str">
        <f t="shared" ref="L189:L191" si="27">IF(K189:K1187&lt;=79,"sweet",IF(K189:K1187&lt;=120,"normal",IF(K189:K1187&lt;=250,"high",IF(K189:K1187&lt;=1000,"very high"))))</f>
        <v>high</v>
      </c>
      <c r="P189" s="7">
        <v>44441</v>
      </c>
      <c r="Q189" s="7">
        <v>44471</v>
      </c>
    </row>
    <row r="190" spans="1:17" x14ac:dyDescent="0.25">
      <c r="A190" t="s">
        <v>307</v>
      </c>
      <c r="B190">
        <v>9871580</v>
      </c>
      <c r="C190" t="s">
        <v>308</v>
      </c>
      <c r="D190">
        <v>65</v>
      </c>
      <c r="G190">
        <v>98</v>
      </c>
      <c r="H190">
        <v>114</v>
      </c>
      <c r="I190" t="s">
        <v>96</v>
      </c>
      <c r="J190">
        <v>97</v>
      </c>
      <c r="K190">
        <v>92</v>
      </c>
      <c r="L190" t="str">
        <f t="shared" si="27"/>
        <v>normal</v>
      </c>
      <c r="P190" s="7">
        <v>44379</v>
      </c>
      <c r="Q190" s="7">
        <v>44379</v>
      </c>
    </row>
    <row r="191" spans="1:17" x14ac:dyDescent="0.25">
      <c r="A191" t="s">
        <v>309</v>
      </c>
      <c r="B191">
        <v>9873137</v>
      </c>
      <c r="C191" t="s">
        <v>310</v>
      </c>
      <c r="D191">
        <v>40</v>
      </c>
      <c r="G191">
        <v>98</v>
      </c>
      <c r="H191">
        <v>78</v>
      </c>
      <c r="I191" t="s">
        <v>6</v>
      </c>
      <c r="J191">
        <v>94</v>
      </c>
      <c r="K191">
        <v>215</v>
      </c>
      <c r="L191" t="str">
        <f t="shared" si="27"/>
        <v>high</v>
      </c>
      <c r="P191" s="7">
        <v>44379</v>
      </c>
      <c r="Q191" s="7">
        <v>44379</v>
      </c>
    </row>
    <row r="192" spans="1:17" hidden="1" x14ac:dyDescent="0.25">
      <c r="A192" t="s">
        <v>311</v>
      </c>
      <c r="B192">
        <v>9873393</v>
      </c>
      <c r="D192">
        <v>70</v>
      </c>
      <c r="G192">
        <v>98</v>
      </c>
      <c r="H192">
        <v>86</v>
      </c>
      <c r="I192" t="s">
        <v>6</v>
      </c>
      <c r="J192">
        <v>100</v>
      </c>
      <c r="K192">
        <v>26</v>
      </c>
      <c r="P192" s="7">
        <v>44379</v>
      </c>
      <c r="Q192" s="7">
        <v>44379</v>
      </c>
    </row>
    <row r="193" spans="1:17" x14ac:dyDescent="0.25">
      <c r="A193" t="s">
        <v>312</v>
      </c>
      <c r="B193">
        <v>9873044</v>
      </c>
      <c r="D193">
        <v>17</v>
      </c>
      <c r="G193">
        <v>98</v>
      </c>
      <c r="H193">
        <v>143</v>
      </c>
      <c r="I193" t="s">
        <v>96</v>
      </c>
      <c r="J193">
        <v>102</v>
      </c>
      <c r="K193">
        <v>140</v>
      </c>
      <c r="L193" t="str">
        <f>IF(K193:K1191&lt;=79,"sweet",IF(K193:K1191&lt;=120,"normal",IF(K193:K1191&lt;=250,"high",IF(K193:K1191&lt;=1000,"very high"))))</f>
        <v>high</v>
      </c>
      <c r="P193" s="7">
        <v>44379</v>
      </c>
      <c r="Q193" s="7">
        <v>44379</v>
      </c>
    </row>
    <row r="194" spans="1:17" hidden="1" x14ac:dyDescent="0.25">
      <c r="A194" t="s">
        <v>313</v>
      </c>
      <c r="B194">
        <v>98752591</v>
      </c>
      <c r="C194" t="s">
        <v>314</v>
      </c>
      <c r="D194">
        <v>75</v>
      </c>
      <c r="G194">
        <v>98</v>
      </c>
      <c r="J194">
        <v>98</v>
      </c>
      <c r="P194" s="7">
        <v>44379</v>
      </c>
      <c r="Q194" s="7">
        <v>44379</v>
      </c>
    </row>
    <row r="195" spans="1:17" x14ac:dyDescent="0.25">
      <c r="A195" t="s">
        <v>315</v>
      </c>
      <c r="B195">
        <v>4481169</v>
      </c>
      <c r="D195">
        <v>80</v>
      </c>
      <c r="G195">
        <v>98</v>
      </c>
      <c r="H195">
        <v>110</v>
      </c>
      <c r="I195" t="s">
        <v>53</v>
      </c>
      <c r="J195">
        <v>97</v>
      </c>
      <c r="K195">
        <v>82</v>
      </c>
      <c r="L195" t="str">
        <f>IF(K195:K1193&lt;=79,"sweet",IF(K195:K1193&lt;=120,"normal",IF(K195:K1193&lt;=250,"high",IF(K195:K1193&lt;=1000,"very high"))))</f>
        <v>normal</v>
      </c>
      <c r="P195" s="7">
        <v>44379</v>
      </c>
      <c r="Q195" s="7">
        <v>44410</v>
      </c>
    </row>
    <row r="196" spans="1:17" hidden="1" x14ac:dyDescent="0.25">
      <c r="A196" t="s">
        <v>84</v>
      </c>
      <c r="B196">
        <v>990805</v>
      </c>
      <c r="D196">
        <v>35</v>
      </c>
      <c r="G196">
        <v>98</v>
      </c>
      <c r="H196">
        <v>130</v>
      </c>
      <c r="I196" t="s">
        <v>316</v>
      </c>
      <c r="J196">
        <v>94</v>
      </c>
      <c r="P196" s="7">
        <v>44410</v>
      </c>
      <c r="Q196" s="7">
        <v>44410</v>
      </c>
    </row>
    <row r="197" spans="1:17" x14ac:dyDescent="0.25">
      <c r="A197" t="s">
        <v>317</v>
      </c>
      <c r="B197">
        <v>9859914</v>
      </c>
      <c r="D197">
        <v>75</v>
      </c>
      <c r="G197">
        <v>98</v>
      </c>
      <c r="H197">
        <v>70</v>
      </c>
      <c r="I197" t="s">
        <v>96</v>
      </c>
      <c r="J197">
        <v>100</v>
      </c>
      <c r="K197">
        <v>160</v>
      </c>
      <c r="L197" t="str">
        <f t="shared" ref="L197:L198" si="28">IF(K197:K1195&lt;=79,"sweet",IF(K197:K1195&lt;=120,"normal",IF(K197:K1195&lt;=250,"high",IF(K197:K1195&lt;=1000,"very high"))))</f>
        <v>high</v>
      </c>
      <c r="P197" s="7">
        <v>44410</v>
      </c>
      <c r="Q197" s="7">
        <v>44410</v>
      </c>
    </row>
    <row r="198" spans="1:17" x14ac:dyDescent="0.25">
      <c r="A198" t="s">
        <v>318</v>
      </c>
      <c r="B198">
        <v>9909189</v>
      </c>
      <c r="D198">
        <v>72</v>
      </c>
      <c r="G198">
        <v>98</v>
      </c>
      <c r="H198">
        <v>140</v>
      </c>
      <c r="I198" t="s">
        <v>161</v>
      </c>
      <c r="J198">
        <v>102</v>
      </c>
      <c r="K198">
        <v>130</v>
      </c>
      <c r="L198" t="str">
        <f t="shared" si="28"/>
        <v>high</v>
      </c>
      <c r="P198" s="7">
        <v>44410</v>
      </c>
      <c r="Q198" s="7">
        <v>44410</v>
      </c>
    </row>
    <row r="199" spans="1:17" hidden="1" x14ac:dyDescent="0.25">
      <c r="A199" t="s">
        <v>319</v>
      </c>
      <c r="B199">
        <v>945731</v>
      </c>
      <c r="D199">
        <v>60</v>
      </c>
      <c r="G199">
        <v>98</v>
      </c>
      <c r="J199">
        <v>98</v>
      </c>
      <c r="K199">
        <v>72</v>
      </c>
      <c r="N199" t="s">
        <v>976</v>
      </c>
      <c r="O199" t="s">
        <v>968</v>
      </c>
      <c r="P199" s="7">
        <v>44441</v>
      </c>
      <c r="Q199" s="7">
        <v>44441</v>
      </c>
    </row>
    <row r="200" spans="1:17" x14ac:dyDescent="0.25">
      <c r="A200" t="s">
        <v>320</v>
      </c>
      <c r="B200">
        <v>9941721</v>
      </c>
      <c r="D200">
        <v>75</v>
      </c>
      <c r="G200">
        <v>98</v>
      </c>
      <c r="H200">
        <v>70</v>
      </c>
      <c r="I200" t="s">
        <v>260</v>
      </c>
      <c r="J200">
        <v>97</v>
      </c>
      <c r="K200">
        <v>149</v>
      </c>
      <c r="L200" t="str">
        <f t="shared" ref="L200:L206" si="29">IF(K200:K1198&lt;=79,"sweet",IF(K200:K1198&lt;=120,"normal",IF(K200:K1198&lt;=250,"high",IF(K200:K1198&lt;=1000,"very high"))))</f>
        <v>high</v>
      </c>
      <c r="P200" s="7">
        <v>44441</v>
      </c>
      <c r="Q200" s="7">
        <v>44441</v>
      </c>
    </row>
    <row r="201" spans="1:17" x14ac:dyDescent="0.25">
      <c r="A201" t="s">
        <v>321</v>
      </c>
      <c r="B201">
        <v>255037</v>
      </c>
      <c r="D201">
        <v>40</v>
      </c>
      <c r="G201">
        <v>98</v>
      </c>
      <c r="H201">
        <v>99</v>
      </c>
      <c r="I201" t="s">
        <v>96</v>
      </c>
      <c r="J201">
        <v>94</v>
      </c>
      <c r="K201">
        <v>110</v>
      </c>
      <c r="L201" t="str">
        <f t="shared" si="29"/>
        <v>normal</v>
      </c>
      <c r="O201" t="s">
        <v>967</v>
      </c>
      <c r="P201" s="7">
        <v>44441</v>
      </c>
      <c r="Q201" s="7">
        <v>44441</v>
      </c>
    </row>
    <row r="202" spans="1:17" x14ac:dyDescent="0.25">
      <c r="A202" t="s">
        <v>323</v>
      </c>
      <c r="B202">
        <v>9917062</v>
      </c>
      <c r="D202">
        <v>60</v>
      </c>
      <c r="G202">
        <v>98</v>
      </c>
      <c r="H202">
        <v>86</v>
      </c>
      <c r="I202" t="s">
        <v>304</v>
      </c>
      <c r="J202">
        <v>100</v>
      </c>
      <c r="K202">
        <v>138</v>
      </c>
      <c r="L202" t="str">
        <f t="shared" si="29"/>
        <v>high</v>
      </c>
      <c r="O202" t="s">
        <v>967</v>
      </c>
      <c r="P202" s="7">
        <v>44441</v>
      </c>
      <c r="Q202" s="7">
        <v>44441</v>
      </c>
    </row>
    <row r="203" spans="1:17" x14ac:dyDescent="0.25">
      <c r="A203" t="s">
        <v>50</v>
      </c>
      <c r="B203">
        <v>99112822</v>
      </c>
      <c r="D203">
        <v>60</v>
      </c>
      <c r="G203">
        <v>98</v>
      </c>
      <c r="H203">
        <v>63</v>
      </c>
      <c r="I203" t="s">
        <v>322</v>
      </c>
      <c r="J203">
        <v>102</v>
      </c>
      <c r="K203">
        <v>104</v>
      </c>
      <c r="L203" t="str">
        <f t="shared" si="29"/>
        <v>normal</v>
      </c>
      <c r="P203" s="7">
        <v>44471</v>
      </c>
      <c r="Q203" s="7">
        <v>44471</v>
      </c>
    </row>
    <row r="204" spans="1:17" x14ac:dyDescent="0.25">
      <c r="A204" t="s">
        <v>324</v>
      </c>
      <c r="B204">
        <v>255987</v>
      </c>
      <c r="D204">
        <v>70</v>
      </c>
      <c r="G204">
        <v>98</v>
      </c>
      <c r="H204">
        <v>60</v>
      </c>
      <c r="I204" t="s">
        <v>53</v>
      </c>
      <c r="J204">
        <v>98</v>
      </c>
      <c r="K204">
        <v>209</v>
      </c>
      <c r="L204" t="str">
        <f t="shared" si="29"/>
        <v>high</v>
      </c>
      <c r="P204" s="7">
        <v>44471</v>
      </c>
      <c r="Q204" s="7">
        <v>44471</v>
      </c>
    </row>
    <row r="205" spans="1:17" x14ac:dyDescent="0.25">
      <c r="A205" t="s">
        <v>317</v>
      </c>
      <c r="B205">
        <v>255896</v>
      </c>
      <c r="D205">
        <v>85</v>
      </c>
      <c r="G205">
        <v>98</v>
      </c>
      <c r="H205">
        <v>70</v>
      </c>
      <c r="I205" t="s">
        <v>6</v>
      </c>
      <c r="J205">
        <v>100</v>
      </c>
      <c r="K205">
        <v>117</v>
      </c>
      <c r="L205" t="str">
        <f t="shared" si="29"/>
        <v>normal</v>
      </c>
      <c r="P205" s="7">
        <v>44471</v>
      </c>
      <c r="Q205" s="7">
        <v>44471</v>
      </c>
    </row>
    <row r="206" spans="1:17" x14ac:dyDescent="0.25">
      <c r="A206" t="s">
        <v>325</v>
      </c>
      <c r="B206">
        <v>256396</v>
      </c>
      <c r="D206">
        <v>45</v>
      </c>
      <c r="G206">
        <v>98</v>
      </c>
      <c r="H206">
        <v>65</v>
      </c>
      <c r="I206" t="s">
        <v>53</v>
      </c>
      <c r="J206">
        <v>99</v>
      </c>
      <c r="K206">
        <v>245</v>
      </c>
      <c r="L206" t="str">
        <f t="shared" si="29"/>
        <v>high</v>
      </c>
      <c r="P206" s="7">
        <v>44471</v>
      </c>
      <c r="Q206" s="7">
        <v>44471</v>
      </c>
    </row>
    <row r="207" spans="1:17" hidden="1" x14ac:dyDescent="0.25">
      <c r="A207" t="s">
        <v>326</v>
      </c>
      <c r="B207">
        <v>256519</v>
      </c>
      <c r="D207">
        <v>75</v>
      </c>
      <c r="G207">
        <v>98</v>
      </c>
      <c r="H207">
        <v>75</v>
      </c>
      <c r="I207" t="s">
        <v>62</v>
      </c>
      <c r="K207">
        <v>59</v>
      </c>
      <c r="O207" t="s">
        <v>977</v>
      </c>
      <c r="P207" s="7">
        <v>44471</v>
      </c>
      <c r="Q207" s="7">
        <v>44471</v>
      </c>
    </row>
    <row r="208" spans="1:17" x14ac:dyDescent="0.25">
      <c r="A208" t="s">
        <v>158</v>
      </c>
      <c r="B208">
        <v>109933640</v>
      </c>
      <c r="D208">
        <v>56</v>
      </c>
      <c r="G208">
        <v>98</v>
      </c>
      <c r="H208">
        <v>129</v>
      </c>
      <c r="I208" t="s">
        <v>327</v>
      </c>
      <c r="J208">
        <v>98</v>
      </c>
      <c r="K208">
        <v>115</v>
      </c>
      <c r="L208" t="str">
        <f t="shared" ref="L208:L211" si="30">IF(K208:K1206&lt;=79,"sweet",IF(K208:K1206&lt;=120,"normal",IF(K208:K1206&lt;=250,"high",IF(K208:K1206&lt;=1000,"very high"))))</f>
        <v>normal</v>
      </c>
      <c r="N208" t="s">
        <v>973</v>
      </c>
      <c r="P208" s="7">
        <v>44471</v>
      </c>
      <c r="Q208" s="7">
        <v>44471</v>
      </c>
    </row>
    <row r="209" spans="1:17" x14ac:dyDescent="0.25">
      <c r="A209" t="s">
        <v>328</v>
      </c>
      <c r="B209">
        <v>257263</v>
      </c>
      <c r="D209">
        <v>55</v>
      </c>
      <c r="G209">
        <v>98</v>
      </c>
      <c r="H209">
        <v>65</v>
      </c>
      <c r="I209" t="s">
        <v>154</v>
      </c>
      <c r="J209">
        <v>87</v>
      </c>
      <c r="K209">
        <v>256</v>
      </c>
      <c r="L209" t="str">
        <f t="shared" si="30"/>
        <v>very high</v>
      </c>
      <c r="O209" t="s">
        <v>967</v>
      </c>
      <c r="P209" s="7">
        <v>44471</v>
      </c>
      <c r="Q209" s="7">
        <v>44471</v>
      </c>
    </row>
    <row r="210" spans="1:17" x14ac:dyDescent="0.25">
      <c r="A210" t="s">
        <v>329</v>
      </c>
      <c r="B210">
        <v>86451517</v>
      </c>
      <c r="D210">
        <v>18</v>
      </c>
      <c r="G210">
        <v>98</v>
      </c>
      <c r="H210">
        <v>180</v>
      </c>
      <c r="I210" t="s">
        <v>53</v>
      </c>
      <c r="J210">
        <v>87</v>
      </c>
      <c r="K210">
        <v>139</v>
      </c>
      <c r="L210" t="str">
        <f t="shared" si="30"/>
        <v>high</v>
      </c>
      <c r="P210" s="7">
        <v>44197</v>
      </c>
      <c r="Q210" s="7">
        <v>44197</v>
      </c>
    </row>
    <row r="211" spans="1:17" x14ac:dyDescent="0.25">
      <c r="A211" t="s">
        <v>330</v>
      </c>
      <c r="B211">
        <v>8638406</v>
      </c>
      <c r="D211">
        <v>75</v>
      </c>
      <c r="G211">
        <v>98</v>
      </c>
      <c r="H211">
        <v>84</v>
      </c>
      <c r="I211" t="s">
        <v>331</v>
      </c>
      <c r="J211">
        <v>80</v>
      </c>
      <c r="K211">
        <v>185</v>
      </c>
      <c r="L211" t="str">
        <f t="shared" si="30"/>
        <v>high</v>
      </c>
      <c r="O211" t="s">
        <v>967</v>
      </c>
      <c r="P211" s="7">
        <v>44197</v>
      </c>
      <c r="Q211" s="7">
        <v>44197</v>
      </c>
    </row>
    <row r="212" spans="1:17" hidden="1" x14ac:dyDescent="0.25">
      <c r="A212" t="s">
        <v>300</v>
      </c>
      <c r="B212">
        <v>8599721</v>
      </c>
      <c r="D212">
        <v>60</v>
      </c>
      <c r="G212">
        <v>98</v>
      </c>
      <c r="H212">
        <v>69</v>
      </c>
      <c r="I212" t="s">
        <v>332</v>
      </c>
      <c r="J212">
        <v>96</v>
      </c>
      <c r="P212" s="7">
        <v>44197</v>
      </c>
      <c r="Q212" s="7">
        <v>44197</v>
      </c>
    </row>
    <row r="213" spans="1:17" x14ac:dyDescent="0.25">
      <c r="A213" t="s">
        <v>333</v>
      </c>
      <c r="B213">
        <v>8627683</v>
      </c>
      <c r="D213">
        <v>76</v>
      </c>
      <c r="G213">
        <v>98</v>
      </c>
      <c r="H213">
        <v>79</v>
      </c>
      <c r="I213" t="s">
        <v>334</v>
      </c>
      <c r="J213">
        <v>89</v>
      </c>
      <c r="K213">
        <v>100</v>
      </c>
      <c r="L213" t="str">
        <f>IF(K213:K1211&lt;=79,"sweet",IF(K213:K1211&lt;=120,"normal",IF(K213:K1211&lt;=250,"high",IF(K213:K1211&lt;=1000,"very high"))))</f>
        <v>normal</v>
      </c>
      <c r="P213" s="7">
        <v>44197</v>
      </c>
      <c r="Q213" s="7">
        <v>44197</v>
      </c>
    </row>
    <row r="214" spans="1:17" hidden="1" x14ac:dyDescent="0.25">
      <c r="A214" t="s">
        <v>137</v>
      </c>
      <c r="B214">
        <v>8606276</v>
      </c>
      <c r="D214">
        <v>40</v>
      </c>
      <c r="G214">
        <v>98</v>
      </c>
      <c r="H214">
        <v>94</v>
      </c>
      <c r="I214" t="s">
        <v>120</v>
      </c>
      <c r="J214">
        <v>88</v>
      </c>
      <c r="O214" t="s">
        <v>968</v>
      </c>
      <c r="P214" s="7" t="s">
        <v>335</v>
      </c>
      <c r="Q214" s="7" t="s">
        <v>335</v>
      </c>
    </row>
    <row r="215" spans="1:17" x14ac:dyDescent="0.25">
      <c r="A215" t="s">
        <v>336</v>
      </c>
      <c r="B215">
        <v>86448142</v>
      </c>
      <c r="D215">
        <v>65</v>
      </c>
      <c r="G215">
        <v>98</v>
      </c>
      <c r="H215">
        <v>90</v>
      </c>
      <c r="I215" t="s">
        <v>53</v>
      </c>
      <c r="J215">
        <v>87</v>
      </c>
      <c r="K215">
        <v>140</v>
      </c>
      <c r="L215" t="str">
        <f>IF(K215:K1213&lt;=79,"sweet",IF(K215:K1213&lt;=120,"normal",IF(K215:K1213&lt;=250,"high",IF(K215:K1213&lt;=1000,"very high"))))</f>
        <v>high</v>
      </c>
      <c r="P215" s="7">
        <v>44197</v>
      </c>
      <c r="Q215" s="7">
        <v>44197</v>
      </c>
    </row>
    <row r="216" spans="1:17" hidden="1" x14ac:dyDescent="0.25">
      <c r="A216" t="s">
        <v>337</v>
      </c>
      <c r="B216">
        <v>8657540</v>
      </c>
      <c r="D216">
        <v>75</v>
      </c>
      <c r="G216">
        <v>98</v>
      </c>
      <c r="O216" t="s">
        <v>967</v>
      </c>
      <c r="P216" s="7">
        <v>44197</v>
      </c>
      <c r="Q216" s="7">
        <v>44197</v>
      </c>
    </row>
    <row r="217" spans="1:17" x14ac:dyDescent="0.25">
      <c r="A217" t="s">
        <v>338</v>
      </c>
      <c r="B217">
        <v>8658433</v>
      </c>
      <c r="D217">
        <v>30</v>
      </c>
      <c r="G217">
        <v>98</v>
      </c>
      <c r="H217">
        <v>85</v>
      </c>
      <c r="I217" t="s">
        <v>6</v>
      </c>
      <c r="J217">
        <v>95</v>
      </c>
      <c r="K217">
        <v>135</v>
      </c>
      <c r="L217" t="str">
        <f t="shared" ref="L217:L218" si="31">IF(K217:K1215&lt;=79,"sweet",IF(K217:K1215&lt;=120,"normal",IF(K217:K1215&lt;=250,"high",IF(K217:K1215&lt;=1000,"very high"))))</f>
        <v>high</v>
      </c>
      <c r="O217" t="s">
        <v>967</v>
      </c>
      <c r="P217" s="7">
        <v>44197</v>
      </c>
      <c r="Q217" s="7">
        <v>44197</v>
      </c>
    </row>
    <row r="218" spans="1:17" x14ac:dyDescent="0.25">
      <c r="A218" t="s">
        <v>339</v>
      </c>
      <c r="B218">
        <v>8660258</v>
      </c>
      <c r="D218">
        <v>45</v>
      </c>
      <c r="G218">
        <v>98</v>
      </c>
      <c r="H218">
        <v>96</v>
      </c>
      <c r="I218" t="s">
        <v>53</v>
      </c>
      <c r="J218">
        <v>97</v>
      </c>
      <c r="K218">
        <v>128</v>
      </c>
      <c r="L218" t="str">
        <f t="shared" si="31"/>
        <v>high</v>
      </c>
      <c r="P218" s="7">
        <v>44197</v>
      </c>
      <c r="Q218" s="7">
        <v>44197</v>
      </c>
    </row>
    <row r="219" spans="1:17" hidden="1" x14ac:dyDescent="0.25">
      <c r="A219" t="s">
        <v>340</v>
      </c>
      <c r="B219">
        <v>80662429</v>
      </c>
      <c r="D219">
        <v>40</v>
      </c>
      <c r="G219">
        <v>98</v>
      </c>
      <c r="I219" t="s">
        <v>49</v>
      </c>
      <c r="O219" t="s">
        <v>967</v>
      </c>
      <c r="P219" s="7">
        <v>44197</v>
      </c>
      <c r="Q219" s="7">
        <v>44197</v>
      </c>
    </row>
    <row r="220" spans="1:17" x14ac:dyDescent="0.25">
      <c r="A220" t="s">
        <v>341</v>
      </c>
      <c r="B220">
        <v>8657789</v>
      </c>
      <c r="D220">
        <v>29</v>
      </c>
      <c r="G220">
        <v>98</v>
      </c>
      <c r="H220">
        <v>89</v>
      </c>
      <c r="I220" t="s">
        <v>342</v>
      </c>
      <c r="J220">
        <v>84</v>
      </c>
      <c r="K220">
        <v>156</v>
      </c>
      <c r="L220" t="str">
        <f>IF(K220:K1218&lt;=79,"sweet",IF(K220:K1218&lt;=120,"normal",IF(K220:K1218&lt;=250,"high",IF(K220:K1218&lt;=1000,"very high"))))</f>
        <v>high</v>
      </c>
      <c r="P220" s="7">
        <v>44197</v>
      </c>
      <c r="Q220" s="7">
        <v>44197</v>
      </c>
    </row>
    <row r="221" spans="1:17" hidden="1" x14ac:dyDescent="0.25">
      <c r="A221" t="s">
        <v>343</v>
      </c>
      <c r="B221">
        <v>8663763</v>
      </c>
      <c r="D221">
        <v>35</v>
      </c>
      <c r="G221">
        <v>98</v>
      </c>
      <c r="H221">
        <v>98</v>
      </c>
      <c r="I221" t="s">
        <v>53</v>
      </c>
      <c r="J221">
        <v>84</v>
      </c>
      <c r="P221" s="7">
        <v>44229</v>
      </c>
      <c r="Q221" s="7">
        <v>44229</v>
      </c>
    </row>
    <row r="222" spans="1:17" hidden="1" x14ac:dyDescent="0.25">
      <c r="A222" t="s">
        <v>344</v>
      </c>
      <c r="B222">
        <v>8658304</v>
      </c>
      <c r="D222">
        <v>61</v>
      </c>
      <c r="G222">
        <v>98</v>
      </c>
      <c r="H222">
        <v>102</v>
      </c>
      <c r="I222" t="s">
        <v>345</v>
      </c>
      <c r="J222">
        <v>94</v>
      </c>
      <c r="O222" t="s">
        <v>968</v>
      </c>
      <c r="P222" s="7">
        <v>44229</v>
      </c>
      <c r="Q222" s="7">
        <v>44229</v>
      </c>
    </row>
    <row r="223" spans="1:17" x14ac:dyDescent="0.25">
      <c r="A223" t="s">
        <v>346</v>
      </c>
      <c r="B223">
        <v>8662523</v>
      </c>
      <c r="D223">
        <v>55</v>
      </c>
      <c r="G223">
        <v>98</v>
      </c>
      <c r="H223">
        <v>88</v>
      </c>
      <c r="I223" t="s">
        <v>347</v>
      </c>
      <c r="J223">
        <v>89</v>
      </c>
      <c r="K223">
        <v>134</v>
      </c>
      <c r="L223" t="str">
        <f>IF(K223:K1221&lt;=79,"sweet",IF(K223:K1221&lt;=120,"normal",IF(K223:K1221&lt;=250,"high",IF(K223:K1221&lt;=1000,"very high"))))</f>
        <v>high</v>
      </c>
      <c r="P223" s="7">
        <v>44229</v>
      </c>
      <c r="Q223" s="7">
        <v>44229</v>
      </c>
    </row>
    <row r="224" spans="1:17" hidden="1" x14ac:dyDescent="0.25">
      <c r="A224" t="s">
        <v>348</v>
      </c>
      <c r="B224">
        <v>8687849</v>
      </c>
      <c r="D224">
        <v>88</v>
      </c>
      <c r="G224">
        <v>98</v>
      </c>
      <c r="O224" t="s">
        <v>967</v>
      </c>
      <c r="P224" s="7">
        <v>44229</v>
      </c>
      <c r="Q224" s="7">
        <v>44229</v>
      </c>
    </row>
    <row r="225" spans="1:17" x14ac:dyDescent="0.25">
      <c r="A225" t="s">
        <v>139</v>
      </c>
      <c r="B225">
        <v>8695304</v>
      </c>
      <c r="D225">
        <v>85</v>
      </c>
      <c r="G225">
        <v>98</v>
      </c>
      <c r="H225">
        <v>60</v>
      </c>
      <c r="I225" t="s">
        <v>49</v>
      </c>
      <c r="J225">
        <v>98</v>
      </c>
      <c r="K225">
        <v>286</v>
      </c>
      <c r="L225" t="str">
        <f t="shared" ref="L225:L226" si="32">IF(K225:K1223&lt;=79,"sweet",IF(K225:K1223&lt;=120,"normal",IF(K225:K1223&lt;=250,"high",IF(K225:K1223&lt;=1000,"very high"))))</f>
        <v>very high</v>
      </c>
      <c r="P225" s="7">
        <v>44229</v>
      </c>
      <c r="Q225" s="7">
        <v>44229</v>
      </c>
    </row>
    <row r="226" spans="1:17" x14ac:dyDescent="0.25">
      <c r="A226" t="s">
        <v>349</v>
      </c>
      <c r="B226">
        <v>8939722</v>
      </c>
      <c r="D226">
        <v>45</v>
      </c>
      <c r="G226">
        <v>98</v>
      </c>
      <c r="H226">
        <v>87</v>
      </c>
      <c r="I226" t="s">
        <v>53</v>
      </c>
      <c r="J226">
        <v>99</v>
      </c>
      <c r="K226">
        <v>245</v>
      </c>
      <c r="L226" t="str">
        <f t="shared" si="32"/>
        <v>high</v>
      </c>
      <c r="P226" s="7">
        <v>44229</v>
      </c>
      <c r="Q226" s="7">
        <v>44257</v>
      </c>
    </row>
    <row r="227" spans="1:17" hidden="1" x14ac:dyDescent="0.25">
      <c r="A227" t="s">
        <v>350</v>
      </c>
      <c r="B227">
        <v>86967671</v>
      </c>
      <c r="D227">
        <v>55</v>
      </c>
      <c r="G227">
        <v>98</v>
      </c>
      <c r="H227">
        <v>96</v>
      </c>
      <c r="I227" t="s">
        <v>154</v>
      </c>
      <c r="J227">
        <v>90</v>
      </c>
      <c r="P227" s="7">
        <v>44256</v>
      </c>
      <c r="Q227" s="7">
        <v>44256</v>
      </c>
    </row>
    <row r="228" spans="1:17" hidden="1" x14ac:dyDescent="0.25">
      <c r="A228" t="s">
        <v>351</v>
      </c>
      <c r="B228">
        <v>8972413</v>
      </c>
      <c r="D228">
        <v>50</v>
      </c>
      <c r="G228">
        <v>98</v>
      </c>
      <c r="H228">
        <v>200</v>
      </c>
      <c r="J228">
        <v>65</v>
      </c>
      <c r="K228">
        <v>51</v>
      </c>
      <c r="P228" s="7">
        <v>44256</v>
      </c>
      <c r="Q228" s="7">
        <v>44256</v>
      </c>
    </row>
    <row r="229" spans="1:17" x14ac:dyDescent="0.25">
      <c r="A229" t="s">
        <v>352</v>
      </c>
      <c r="B229">
        <v>86970952</v>
      </c>
      <c r="D229">
        <v>45</v>
      </c>
      <c r="G229">
        <v>98</v>
      </c>
      <c r="H229">
        <v>30</v>
      </c>
      <c r="I229" t="s">
        <v>334</v>
      </c>
      <c r="J229">
        <v>35</v>
      </c>
      <c r="K229">
        <v>169</v>
      </c>
      <c r="L229" t="str">
        <f>IF(K229:K1227&lt;=79,"sweet",IF(K229:K1227&lt;=120,"normal",IF(K229:K1227&lt;=250,"high",IF(K229:K1227&lt;=1000,"very high"))))</f>
        <v>high</v>
      </c>
      <c r="P229" s="7">
        <v>44228</v>
      </c>
      <c r="Q229" s="7">
        <v>44256</v>
      </c>
    </row>
    <row r="230" spans="1:17" hidden="1" x14ac:dyDescent="0.25">
      <c r="A230" t="s">
        <v>353</v>
      </c>
      <c r="B230">
        <v>870319</v>
      </c>
      <c r="D230">
        <v>66</v>
      </c>
      <c r="G230">
        <v>98</v>
      </c>
      <c r="I230" t="s">
        <v>53</v>
      </c>
      <c r="K230">
        <v>75</v>
      </c>
      <c r="P230" s="7">
        <v>44228</v>
      </c>
      <c r="Q230" s="7">
        <v>44228</v>
      </c>
    </row>
    <row r="231" spans="1:17" x14ac:dyDescent="0.25">
      <c r="A231" t="s">
        <v>354</v>
      </c>
      <c r="B231">
        <v>8701044</v>
      </c>
      <c r="D231">
        <v>34</v>
      </c>
      <c r="G231">
        <v>98</v>
      </c>
      <c r="H231">
        <v>75</v>
      </c>
      <c r="I231" t="s">
        <v>362</v>
      </c>
      <c r="J231">
        <v>97</v>
      </c>
      <c r="K231">
        <v>132</v>
      </c>
      <c r="L231" t="str">
        <f>IF(K231:K1229&lt;=79,"sweet",IF(K231:K1229&lt;=120,"normal",IF(K231:K1229&lt;=250,"high",IF(K231:K1229&lt;=1000,"very high"))))</f>
        <v>high</v>
      </c>
      <c r="P231" s="7">
        <v>44256</v>
      </c>
      <c r="Q231" s="7">
        <v>44256</v>
      </c>
    </row>
    <row r="232" spans="1:17" hidden="1" x14ac:dyDescent="0.25">
      <c r="A232" t="s">
        <v>355</v>
      </c>
      <c r="B232">
        <v>8699206</v>
      </c>
      <c r="D232">
        <v>84</v>
      </c>
      <c r="G232">
        <v>98</v>
      </c>
      <c r="H232">
        <v>124</v>
      </c>
      <c r="I232" t="s">
        <v>53</v>
      </c>
      <c r="J232">
        <v>84</v>
      </c>
      <c r="P232" s="7">
        <v>44256</v>
      </c>
      <c r="Q232" s="7">
        <v>44256</v>
      </c>
    </row>
    <row r="233" spans="1:17" hidden="1" x14ac:dyDescent="0.25">
      <c r="A233" t="s">
        <v>356</v>
      </c>
      <c r="B233">
        <v>700729</v>
      </c>
      <c r="D233">
        <v>1.5</v>
      </c>
      <c r="G233">
        <v>98</v>
      </c>
      <c r="H233">
        <v>91</v>
      </c>
      <c r="I233" t="s">
        <v>357</v>
      </c>
      <c r="J233">
        <v>89</v>
      </c>
      <c r="P233" s="7">
        <v>44256</v>
      </c>
      <c r="Q233" s="7">
        <v>44256</v>
      </c>
    </row>
    <row r="234" spans="1:17" x14ac:dyDescent="0.25">
      <c r="A234" t="s">
        <v>358</v>
      </c>
      <c r="B234">
        <v>873114</v>
      </c>
      <c r="D234">
        <v>60</v>
      </c>
      <c r="G234">
        <v>98</v>
      </c>
      <c r="H234">
        <v>64</v>
      </c>
      <c r="I234" t="s">
        <v>49</v>
      </c>
      <c r="J234">
        <v>97</v>
      </c>
      <c r="K234">
        <v>135</v>
      </c>
      <c r="L234" t="str">
        <f>IF(K234:K1232&lt;=79,"sweet",IF(K234:K1232&lt;=120,"normal",IF(K234:K1232&lt;=250,"high",IF(K234:K1232&lt;=1000,"very high"))))</f>
        <v>high</v>
      </c>
      <c r="P234" s="7">
        <v>44287</v>
      </c>
      <c r="Q234" s="7">
        <v>44287</v>
      </c>
    </row>
    <row r="235" spans="1:17" hidden="1" x14ac:dyDescent="0.25">
      <c r="A235" t="s">
        <v>359</v>
      </c>
      <c r="B235">
        <v>8704954</v>
      </c>
      <c r="D235">
        <v>4</v>
      </c>
      <c r="G235">
        <v>100</v>
      </c>
      <c r="H235">
        <v>148</v>
      </c>
      <c r="J235">
        <v>84</v>
      </c>
      <c r="P235" s="7">
        <v>44256</v>
      </c>
      <c r="Q235" s="7">
        <v>44287</v>
      </c>
    </row>
    <row r="236" spans="1:17" hidden="1" x14ac:dyDescent="0.25">
      <c r="A236" t="s">
        <v>360</v>
      </c>
      <c r="B236">
        <v>8700734</v>
      </c>
      <c r="D236">
        <v>70</v>
      </c>
      <c r="G236">
        <v>98</v>
      </c>
      <c r="H236">
        <v>96</v>
      </c>
      <c r="I236" t="s">
        <v>161</v>
      </c>
      <c r="J236">
        <v>89</v>
      </c>
      <c r="P236" s="7">
        <v>44256</v>
      </c>
      <c r="Q236" s="7">
        <v>44287</v>
      </c>
    </row>
    <row r="237" spans="1:17" x14ac:dyDescent="0.25">
      <c r="A237" t="s">
        <v>361</v>
      </c>
      <c r="B237">
        <v>875580</v>
      </c>
      <c r="D237">
        <v>40</v>
      </c>
      <c r="G237">
        <v>98</v>
      </c>
      <c r="H237">
        <v>146</v>
      </c>
      <c r="I237" t="s">
        <v>362</v>
      </c>
      <c r="J237">
        <v>97</v>
      </c>
      <c r="K237">
        <v>255</v>
      </c>
      <c r="L237" t="str">
        <f t="shared" ref="L237:L238" si="33">IF(K237:K1235&lt;=79,"sweet",IF(K237:K1235&lt;=120,"normal",IF(K237:K1235&lt;=250,"high",IF(K237:K1235&lt;=1000,"very high"))))</f>
        <v>very high</v>
      </c>
      <c r="N237" t="s">
        <v>972</v>
      </c>
      <c r="P237" s="7">
        <v>44256</v>
      </c>
      <c r="Q237" s="7">
        <v>44287</v>
      </c>
    </row>
    <row r="238" spans="1:17" x14ac:dyDescent="0.25">
      <c r="A238" t="s">
        <v>363</v>
      </c>
      <c r="B238">
        <v>8712729</v>
      </c>
      <c r="D238">
        <v>47</v>
      </c>
      <c r="G238">
        <v>98</v>
      </c>
      <c r="H238">
        <v>33</v>
      </c>
      <c r="I238" t="s">
        <v>40</v>
      </c>
      <c r="J238">
        <v>84</v>
      </c>
      <c r="K238">
        <v>157</v>
      </c>
      <c r="L238" t="str">
        <f t="shared" si="33"/>
        <v>high</v>
      </c>
      <c r="P238" s="7">
        <v>44287</v>
      </c>
      <c r="Q238" s="7">
        <v>44287</v>
      </c>
    </row>
    <row r="239" spans="1:17" hidden="1" x14ac:dyDescent="0.25">
      <c r="A239" t="s">
        <v>364</v>
      </c>
      <c r="B239">
        <v>67503421</v>
      </c>
      <c r="D239">
        <v>66</v>
      </c>
      <c r="G239">
        <v>98</v>
      </c>
      <c r="J239">
        <v>89</v>
      </c>
      <c r="P239" s="7">
        <v>44287</v>
      </c>
      <c r="Q239" s="7">
        <v>44287</v>
      </c>
    </row>
    <row r="240" spans="1:17" x14ac:dyDescent="0.25">
      <c r="A240" t="s">
        <v>365</v>
      </c>
      <c r="B240">
        <v>4287483722</v>
      </c>
      <c r="G240">
        <v>98</v>
      </c>
      <c r="H240">
        <v>80</v>
      </c>
      <c r="I240" t="s">
        <v>6</v>
      </c>
      <c r="J240">
        <v>96</v>
      </c>
      <c r="K240">
        <v>524</v>
      </c>
      <c r="L240" t="str">
        <f t="shared" ref="L240:L241" si="34">IF(K240:K1238&lt;=79,"sweet",IF(K240:K1238&lt;=120,"normal",IF(K240:K1238&lt;=250,"high",IF(K240:K1238&lt;=1000,"very high"))))</f>
        <v>very high</v>
      </c>
      <c r="P240" s="7">
        <v>44287</v>
      </c>
      <c r="Q240" s="7">
        <v>44317</v>
      </c>
    </row>
    <row r="241" spans="1:18" x14ac:dyDescent="0.25">
      <c r="A241" t="s">
        <v>366</v>
      </c>
      <c r="B241">
        <v>8751835</v>
      </c>
      <c r="D241">
        <v>47</v>
      </c>
      <c r="G241">
        <v>98</v>
      </c>
      <c r="H241">
        <v>96</v>
      </c>
      <c r="I241" t="s">
        <v>96</v>
      </c>
      <c r="J241">
        <v>87</v>
      </c>
      <c r="K241">
        <v>80</v>
      </c>
      <c r="L241" t="str">
        <f t="shared" si="34"/>
        <v>normal</v>
      </c>
      <c r="P241" s="7">
        <v>44317</v>
      </c>
      <c r="Q241" s="7">
        <v>44317</v>
      </c>
    </row>
    <row r="242" spans="1:18" hidden="1" x14ac:dyDescent="0.25">
      <c r="A242" t="s">
        <v>281</v>
      </c>
      <c r="B242">
        <v>2211</v>
      </c>
      <c r="D242">
        <v>80</v>
      </c>
      <c r="G242">
        <v>98</v>
      </c>
      <c r="J242">
        <v>92</v>
      </c>
      <c r="O242" t="s">
        <v>967</v>
      </c>
      <c r="P242" s="7">
        <v>44317</v>
      </c>
      <c r="Q242" s="7">
        <v>44317</v>
      </c>
    </row>
    <row r="243" spans="1:18" hidden="1" x14ac:dyDescent="0.25">
      <c r="A243" t="s">
        <v>367</v>
      </c>
      <c r="B243">
        <v>1283</v>
      </c>
      <c r="D243">
        <v>54</v>
      </c>
      <c r="G243">
        <v>98</v>
      </c>
      <c r="H243">
        <v>80</v>
      </c>
      <c r="I243" t="s">
        <v>6</v>
      </c>
      <c r="J243">
        <v>98</v>
      </c>
      <c r="K243">
        <v>72</v>
      </c>
      <c r="P243" s="7">
        <v>44317</v>
      </c>
      <c r="Q243" s="7">
        <v>44317</v>
      </c>
    </row>
    <row r="244" spans="1:18" hidden="1" x14ac:dyDescent="0.25">
      <c r="A244" t="s">
        <v>368</v>
      </c>
      <c r="B244">
        <v>87922</v>
      </c>
      <c r="D244">
        <v>35</v>
      </c>
      <c r="G244">
        <v>98</v>
      </c>
      <c r="H244">
        <v>78</v>
      </c>
      <c r="I244" t="s">
        <v>96</v>
      </c>
      <c r="J244">
        <v>62</v>
      </c>
      <c r="P244" s="7">
        <v>44287</v>
      </c>
      <c r="Q244" s="7">
        <v>44317</v>
      </c>
    </row>
    <row r="245" spans="1:18" x14ac:dyDescent="0.25">
      <c r="A245" t="s">
        <v>369</v>
      </c>
      <c r="B245">
        <v>8770510</v>
      </c>
      <c r="D245">
        <v>35</v>
      </c>
      <c r="G245">
        <v>98</v>
      </c>
      <c r="H245">
        <v>80</v>
      </c>
      <c r="I245" t="s">
        <v>77</v>
      </c>
      <c r="J245">
        <v>90</v>
      </c>
      <c r="K245">
        <v>173</v>
      </c>
      <c r="L245" t="str">
        <f>IF(K245:K1243&lt;=79,"sweet",IF(K245:K1243&lt;=120,"normal",IF(K245:K1243&lt;=250,"high",IF(K245:K1243&lt;=1000,"very high"))))</f>
        <v>high</v>
      </c>
      <c r="P245" s="7">
        <v>44317</v>
      </c>
      <c r="Q245" s="7">
        <v>44317</v>
      </c>
    </row>
    <row r="246" spans="1:18" hidden="1" x14ac:dyDescent="0.25">
      <c r="A246" t="s">
        <v>370</v>
      </c>
      <c r="B246">
        <v>87205822</v>
      </c>
      <c r="D246">
        <v>65</v>
      </c>
      <c r="G246">
        <v>98</v>
      </c>
      <c r="H246">
        <v>93</v>
      </c>
      <c r="I246" t="s">
        <v>371</v>
      </c>
      <c r="J246">
        <v>96</v>
      </c>
      <c r="P246" s="7">
        <v>44287</v>
      </c>
      <c r="Q246" s="7">
        <v>44317</v>
      </c>
    </row>
    <row r="247" spans="1:18" x14ac:dyDescent="0.25">
      <c r="A247" t="s">
        <v>372</v>
      </c>
      <c r="B247">
        <v>8778360</v>
      </c>
      <c r="D247">
        <v>75</v>
      </c>
      <c r="G247">
        <v>98</v>
      </c>
      <c r="H247">
        <v>96</v>
      </c>
      <c r="I247" t="s">
        <v>373</v>
      </c>
      <c r="J247">
        <v>88</v>
      </c>
      <c r="K247">
        <v>256</v>
      </c>
      <c r="L247" t="str">
        <f t="shared" ref="L247:L255" si="35">IF(K247:K1245&lt;=79,"sweet",IF(K247:K1245&lt;=120,"normal",IF(K247:K1245&lt;=250,"high",IF(K247:K1245&lt;=1000,"very high"))))</f>
        <v>very high</v>
      </c>
      <c r="O247" t="s">
        <v>968</v>
      </c>
      <c r="P247" s="7">
        <v>44317</v>
      </c>
      <c r="Q247" s="7">
        <v>44317</v>
      </c>
    </row>
    <row r="248" spans="1:18" x14ac:dyDescent="0.25">
      <c r="A248" t="s">
        <v>374</v>
      </c>
      <c r="B248">
        <v>8777010</v>
      </c>
      <c r="D248">
        <v>35</v>
      </c>
      <c r="G248">
        <v>98</v>
      </c>
      <c r="H248">
        <v>87</v>
      </c>
      <c r="I248" t="s">
        <v>47</v>
      </c>
      <c r="J248">
        <v>98</v>
      </c>
      <c r="K248">
        <v>224</v>
      </c>
      <c r="L248" t="str">
        <f t="shared" si="35"/>
        <v>high</v>
      </c>
      <c r="P248" s="7">
        <v>44348</v>
      </c>
      <c r="Q248" s="7">
        <v>44348</v>
      </c>
    </row>
    <row r="249" spans="1:18" x14ac:dyDescent="0.25">
      <c r="A249" t="s">
        <v>375</v>
      </c>
      <c r="B249">
        <v>8778698</v>
      </c>
      <c r="D249">
        <v>85</v>
      </c>
      <c r="G249">
        <v>98</v>
      </c>
      <c r="H249">
        <v>86</v>
      </c>
      <c r="I249" t="s">
        <v>92</v>
      </c>
      <c r="J249">
        <v>89</v>
      </c>
      <c r="K249">
        <v>220</v>
      </c>
      <c r="L249" t="str">
        <f t="shared" si="35"/>
        <v>high</v>
      </c>
      <c r="P249" s="7">
        <v>44317</v>
      </c>
      <c r="Q249" s="7">
        <v>44348</v>
      </c>
    </row>
    <row r="250" spans="1:18" x14ac:dyDescent="0.25">
      <c r="A250" t="s">
        <v>376</v>
      </c>
      <c r="B250">
        <v>87538801</v>
      </c>
      <c r="D250">
        <v>65</v>
      </c>
      <c r="G250">
        <v>98</v>
      </c>
      <c r="H250">
        <v>80</v>
      </c>
      <c r="I250" t="s">
        <v>43</v>
      </c>
      <c r="J250">
        <v>98</v>
      </c>
      <c r="K250">
        <v>115</v>
      </c>
      <c r="L250" t="str">
        <f t="shared" si="35"/>
        <v>normal</v>
      </c>
      <c r="P250" s="7">
        <v>44317</v>
      </c>
      <c r="Q250" s="7">
        <v>44348</v>
      </c>
    </row>
    <row r="251" spans="1:18" x14ac:dyDescent="0.25">
      <c r="A251" t="s">
        <v>377</v>
      </c>
      <c r="B251">
        <v>8779661</v>
      </c>
      <c r="D251">
        <v>65</v>
      </c>
      <c r="G251">
        <v>98</v>
      </c>
      <c r="H251">
        <v>78</v>
      </c>
      <c r="I251" t="s">
        <v>53</v>
      </c>
      <c r="J251">
        <v>98</v>
      </c>
      <c r="K251">
        <v>97</v>
      </c>
      <c r="L251" t="str">
        <f t="shared" si="35"/>
        <v>normal</v>
      </c>
      <c r="P251" s="7">
        <v>44348</v>
      </c>
      <c r="Q251" s="7">
        <v>44348</v>
      </c>
    </row>
    <row r="252" spans="1:18" x14ac:dyDescent="0.25">
      <c r="A252" t="s">
        <v>378</v>
      </c>
      <c r="B252">
        <v>761</v>
      </c>
      <c r="D252">
        <v>55</v>
      </c>
      <c r="G252">
        <v>98</v>
      </c>
      <c r="H252">
        <v>52</v>
      </c>
      <c r="I252" t="s">
        <v>373</v>
      </c>
      <c r="J252">
        <v>89</v>
      </c>
      <c r="K252">
        <v>575</v>
      </c>
      <c r="L252" t="str">
        <f t="shared" si="35"/>
        <v>very high</v>
      </c>
      <c r="P252" s="7">
        <v>44348</v>
      </c>
      <c r="Q252" s="7">
        <v>44348</v>
      </c>
      <c r="R252" t="s">
        <v>41</v>
      </c>
    </row>
    <row r="253" spans="1:18" x14ac:dyDescent="0.25">
      <c r="A253" t="s">
        <v>379</v>
      </c>
      <c r="B253">
        <v>87675367</v>
      </c>
      <c r="D253">
        <v>80</v>
      </c>
      <c r="G253">
        <v>98</v>
      </c>
      <c r="H253">
        <v>79</v>
      </c>
      <c r="I253" t="s">
        <v>396</v>
      </c>
      <c r="J253">
        <v>55</v>
      </c>
      <c r="K253">
        <v>133</v>
      </c>
      <c r="L253" t="str">
        <f t="shared" si="35"/>
        <v>high</v>
      </c>
      <c r="M253" t="s">
        <v>36</v>
      </c>
      <c r="P253" s="7">
        <v>44348</v>
      </c>
      <c r="Q253" s="7">
        <v>44378</v>
      </c>
    </row>
    <row r="254" spans="1:18" x14ac:dyDescent="0.25">
      <c r="A254" t="s">
        <v>380</v>
      </c>
      <c r="B254">
        <v>70304547</v>
      </c>
      <c r="D254">
        <v>70</v>
      </c>
      <c r="G254">
        <v>98</v>
      </c>
      <c r="H254">
        <v>54</v>
      </c>
      <c r="I254" t="s">
        <v>304</v>
      </c>
      <c r="J254">
        <v>84</v>
      </c>
      <c r="K254">
        <v>197</v>
      </c>
      <c r="L254" t="str">
        <f t="shared" si="35"/>
        <v>high</v>
      </c>
      <c r="O254" t="s">
        <v>967</v>
      </c>
      <c r="P254" s="7">
        <v>44348</v>
      </c>
      <c r="Q254" s="7">
        <v>44348</v>
      </c>
    </row>
    <row r="255" spans="1:18" x14ac:dyDescent="0.25">
      <c r="A255" t="s">
        <v>29</v>
      </c>
      <c r="B255">
        <v>8814804</v>
      </c>
      <c r="D255">
        <v>23</v>
      </c>
      <c r="G255">
        <v>98</v>
      </c>
      <c r="H255">
        <v>104</v>
      </c>
      <c r="I255" t="s">
        <v>6</v>
      </c>
      <c r="J255">
        <v>89</v>
      </c>
      <c r="K255">
        <v>250</v>
      </c>
      <c r="L255" t="str">
        <f t="shared" si="35"/>
        <v>high</v>
      </c>
      <c r="O255" t="s">
        <v>967</v>
      </c>
      <c r="P255" s="7">
        <v>44378</v>
      </c>
      <c r="Q255" s="7">
        <v>44378</v>
      </c>
    </row>
    <row r="256" spans="1:18" hidden="1" x14ac:dyDescent="0.25">
      <c r="A256" t="s">
        <v>381</v>
      </c>
      <c r="B256">
        <v>8842540</v>
      </c>
      <c r="D256">
        <v>30</v>
      </c>
      <c r="G256">
        <v>98</v>
      </c>
      <c r="H256">
        <v>110</v>
      </c>
      <c r="I256" t="s">
        <v>53</v>
      </c>
      <c r="J256">
        <v>82</v>
      </c>
      <c r="P256" s="7">
        <v>44378</v>
      </c>
      <c r="Q256" s="7">
        <v>44378</v>
      </c>
      <c r="R256" t="s">
        <v>41</v>
      </c>
    </row>
    <row r="257" spans="1:18" hidden="1" x14ac:dyDescent="0.25">
      <c r="A257" t="s">
        <v>382</v>
      </c>
      <c r="B257">
        <v>92842921</v>
      </c>
      <c r="D257">
        <v>40</v>
      </c>
      <c r="G257">
        <v>98</v>
      </c>
      <c r="H257">
        <v>79</v>
      </c>
      <c r="I257" t="s">
        <v>79</v>
      </c>
      <c r="J257">
        <v>85</v>
      </c>
      <c r="K257">
        <v>17</v>
      </c>
      <c r="P257" s="7">
        <v>44378</v>
      </c>
      <c r="Q257" s="7">
        <v>44378</v>
      </c>
    </row>
    <row r="258" spans="1:18" hidden="1" x14ac:dyDescent="0.25">
      <c r="A258" t="s">
        <v>300</v>
      </c>
      <c r="B258">
        <v>9281449</v>
      </c>
      <c r="D258">
        <v>35</v>
      </c>
      <c r="G258">
        <v>98</v>
      </c>
      <c r="H258">
        <v>84</v>
      </c>
      <c r="I258" t="s">
        <v>96</v>
      </c>
      <c r="P258" s="7" t="s">
        <v>383</v>
      </c>
      <c r="Q258" s="7" t="s">
        <v>383</v>
      </c>
    </row>
    <row r="259" spans="1:18" hidden="1" x14ac:dyDescent="0.25">
      <c r="A259" t="s">
        <v>384</v>
      </c>
      <c r="B259">
        <v>285870</v>
      </c>
      <c r="D259">
        <v>50</v>
      </c>
      <c r="G259">
        <v>98</v>
      </c>
      <c r="H259">
        <v>92</v>
      </c>
      <c r="I259" t="s">
        <v>79</v>
      </c>
      <c r="P259" s="7" t="s">
        <v>383</v>
      </c>
      <c r="Q259" s="7" t="s">
        <v>383</v>
      </c>
    </row>
    <row r="260" spans="1:18" x14ac:dyDescent="0.25">
      <c r="A260" t="s">
        <v>385</v>
      </c>
      <c r="B260">
        <v>282824</v>
      </c>
      <c r="D260">
        <v>52</v>
      </c>
      <c r="G260">
        <v>98</v>
      </c>
      <c r="H260">
        <v>82</v>
      </c>
      <c r="I260" t="s">
        <v>130</v>
      </c>
      <c r="J260">
        <v>99</v>
      </c>
      <c r="K260">
        <v>222</v>
      </c>
      <c r="L260" t="str">
        <f>IF(K260:K1258&lt;=79,"sweet",IF(K260:K1258&lt;=120,"normal",IF(K260:K1258&lt;=250,"high",IF(K260:K1258&lt;=1000,"very high"))))</f>
        <v>high</v>
      </c>
      <c r="O260" t="s">
        <v>977</v>
      </c>
      <c r="P260" s="7" t="s">
        <v>383</v>
      </c>
      <c r="Q260" s="7" t="s">
        <v>383</v>
      </c>
    </row>
    <row r="261" spans="1:18" hidden="1" x14ac:dyDescent="0.25">
      <c r="A261" t="s">
        <v>286</v>
      </c>
      <c r="B261">
        <v>29285515</v>
      </c>
      <c r="D261">
        <v>70</v>
      </c>
      <c r="G261">
        <v>98</v>
      </c>
      <c r="H261">
        <v>96</v>
      </c>
      <c r="I261" t="s">
        <v>47</v>
      </c>
      <c r="J261">
        <v>62</v>
      </c>
      <c r="M261" t="s">
        <v>36</v>
      </c>
      <c r="P261" s="7" t="s">
        <v>383</v>
      </c>
      <c r="Q261" s="7" t="s">
        <v>383</v>
      </c>
    </row>
    <row r="262" spans="1:18" x14ac:dyDescent="0.25">
      <c r="A262" t="s">
        <v>164</v>
      </c>
      <c r="B262">
        <v>9271507</v>
      </c>
      <c r="D262">
        <v>70</v>
      </c>
      <c r="G262">
        <v>98</v>
      </c>
      <c r="H262">
        <v>83</v>
      </c>
      <c r="I262" t="s">
        <v>40</v>
      </c>
      <c r="J262">
        <v>95</v>
      </c>
      <c r="K262">
        <v>131</v>
      </c>
      <c r="L262" t="str">
        <f>IF(K262:K1260&lt;=79,"sweet",IF(K262:K1260&lt;=120,"normal",IF(K262:K1260&lt;=250,"high",IF(K262:K1260&lt;=1000,"very high"))))</f>
        <v>high</v>
      </c>
      <c r="O262" t="s">
        <v>967</v>
      </c>
      <c r="P262" s="7" t="s">
        <v>383</v>
      </c>
      <c r="Q262" s="7" t="s">
        <v>383</v>
      </c>
    </row>
    <row r="263" spans="1:18" hidden="1" x14ac:dyDescent="0.25">
      <c r="A263" t="s">
        <v>386</v>
      </c>
      <c r="B263">
        <v>221870</v>
      </c>
      <c r="D263">
        <v>35</v>
      </c>
      <c r="G263">
        <v>98</v>
      </c>
      <c r="H263">
        <v>62</v>
      </c>
      <c r="I263" t="s">
        <v>6</v>
      </c>
      <c r="J263">
        <v>83</v>
      </c>
      <c r="K263">
        <v>62</v>
      </c>
      <c r="P263" s="7" t="s">
        <v>387</v>
      </c>
      <c r="Q263" s="7" t="s">
        <v>387</v>
      </c>
    </row>
    <row r="264" spans="1:18" hidden="1" x14ac:dyDescent="0.25">
      <c r="A264" t="s">
        <v>388</v>
      </c>
      <c r="B264">
        <v>9279785</v>
      </c>
      <c r="D264">
        <v>35</v>
      </c>
      <c r="G264">
        <v>98</v>
      </c>
      <c r="O264" t="s">
        <v>967</v>
      </c>
      <c r="P264" s="7" t="s">
        <v>383</v>
      </c>
      <c r="Q264" s="7" t="s">
        <v>387</v>
      </c>
    </row>
    <row r="265" spans="1:18" x14ac:dyDescent="0.25">
      <c r="A265" t="s">
        <v>389</v>
      </c>
      <c r="B265">
        <v>9294597</v>
      </c>
      <c r="D265">
        <v>25</v>
      </c>
      <c r="G265">
        <v>98</v>
      </c>
      <c r="H265">
        <v>90</v>
      </c>
      <c r="I265" t="s">
        <v>40</v>
      </c>
      <c r="J265">
        <v>98</v>
      </c>
      <c r="K265">
        <v>136</v>
      </c>
      <c r="L265" t="str">
        <f t="shared" ref="L265:L266" si="36">IF(K265:K1263&lt;=79,"sweet",IF(K265:K1263&lt;=120,"normal",IF(K265:K1263&lt;=250,"high",IF(K265:K1263&lt;=1000,"very high"))))</f>
        <v>high</v>
      </c>
      <c r="P265" s="7" t="s">
        <v>387</v>
      </c>
      <c r="Q265" s="7" t="s">
        <v>387</v>
      </c>
    </row>
    <row r="266" spans="1:18" x14ac:dyDescent="0.25">
      <c r="A266" t="s">
        <v>390</v>
      </c>
      <c r="B266">
        <v>9311936</v>
      </c>
      <c r="D266">
        <v>50</v>
      </c>
      <c r="G266">
        <v>98</v>
      </c>
      <c r="H266">
        <v>80</v>
      </c>
      <c r="I266" t="s">
        <v>6</v>
      </c>
      <c r="J266">
        <v>98</v>
      </c>
      <c r="K266">
        <v>138</v>
      </c>
      <c r="L266" t="str">
        <f t="shared" si="36"/>
        <v>high</v>
      </c>
      <c r="P266" s="7" t="s">
        <v>387</v>
      </c>
      <c r="Q266" s="7" t="s">
        <v>387</v>
      </c>
    </row>
    <row r="267" spans="1:18" hidden="1" x14ac:dyDescent="0.25">
      <c r="A267" t="s">
        <v>391</v>
      </c>
      <c r="B267">
        <v>9314088</v>
      </c>
      <c r="D267">
        <v>70</v>
      </c>
      <c r="G267">
        <v>98</v>
      </c>
      <c r="H267">
        <v>101</v>
      </c>
      <c r="I267" t="s">
        <v>6</v>
      </c>
      <c r="O267" t="s">
        <v>968</v>
      </c>
      <c r="P267" s="7" t="s">
        <v>387</v>
      </c>
      <c r="Q267" s="7" t="s">
        <v>387</v>
      </c>
    </row>
    <row r="268" spans="1:18" hidden="1" x14ac:dyDescent="0.25">
      <c r="A268" t="s">
        <v>392</v>
      </c>
      <c r="B268">
        <v>9756034</v>
      </c>
      <c r="D268">
        <v>70</v>
      </c>
      <c r="G268">
        <v>98</v>
      </c>
      <c r="P268" s="7" t="s">
        <v>393</v>
      </c>
      <c r="Q268" s="7" t="s">
        <v>393</v>
      </c>
      <c r="R268" t="s">
        <v>41</v>
      </c>
    </row>
    <row r="269" spans="1:18" x14ac:dyDescent="0.25">
      <c r="A269" t="s">
        <v>394</v>
      </c>
      <c r="B269">
        <v>9292816</v>
      </c>
      <c r="D269">
        <v>80</v>
      </c>
      <c r="G269">
        <v>98</v>
      </c>
      <c r="H269">
        <v>80</v>
      </c>
      <c r="I269" t="s">
        <v>110</v>
      </c>
      <c r="J269">
        <v>96</v>
      </c>
      <c r="K269">
        <v>131</v>
      </c>
      <c r="L269" t="str">
        <f>IF(K269:K1267&lt;=79,"sweet",IF(K269:K1267&lt;=120,"normal",IF(K269:K1267&lt;=250,"high",IF(K269:K1267&lt;=1000,"very high"))))</f>
        <v>high</v>
      </c>
      <c r="O269" t="s">
        <v>967</v>
      </c>
      <c r="P269" s="7" t="s">
        <v>383</v>
      </c>
      <c r="Q269" s="7" t="s">
        <v>383</v>
      </c>
    </row>
    <row r="270" spans="1:18" hidden="1" x14ac:dyDescent="0.25">
      <c r="A270" t="s">
        <v>395</v>
      </c>
      <c r="B270">
        <v>7606670</v>
      </c>
      <c r="D270">
        <v>60</v>
      </c>
      <c r="G270">
        <v>98</v>
      </c>
      <c r="H270">
        <v>83</v>
      </c>
      <c r="I270" t="s">
        <v>264</v>
      </c>
      <c r="O270" t="s">
        <v>967</v>
      </c>
      <c r="P270" s="7" t="s">
        <v>393</v>
      </c>
      <c r="Q270" s="7" t="s">
        <v>393</v>
      </c>
    </row>
    <row r="271" spans="1:18" x14ac:dyDescent="0.25">
      <c r="A271" t="s">
        <v>336</v>
      </c>
      <c r="B271">
        <v>9281292</v>
      </c>
      <c r="D271">
        <v>65</v>
      </c>
      <c r="G271">
        <v>98</v>
      </c>
      <c r="H271">
        <v>149</v>
      </c>
      <c r="I271" t="s">
        <v>396</v>
      </c>
      <c r="J271">
        <v>97</v>
      </c>
      <c r="K271">
        <v>97</v>
      </c>
      <c r="L271" t="str">
        <f>IF(K271:K1269&lt;=79,"sweet",IF(K271:K1269&lt;=120,"normal",IF(K271:K1269&lt;=250,"high",IF(K271:K1269&lt;=1000,"very high"))))</f>
        <v>normal</v>
      </c>
      <c r="P271" s="7" t="s">
        <v>383</v>
      </c>
      <c r="Q271" s="7" t="s">
        <v>393</v>
      </c>
    </row>
    <row r="272" spans="1:18" hidden="1" x14ac:dyDescent="0.25">
      <c r="A272" t="s">
        <v>397</v>
      </c>
      <c r="B272">
        <v>97172102</v>
      </c>
      <c r="D272">
        <v>30</v>
      </c>
      <c r="G272">
        <v>98</v>
      </c>
      <c r="H272">
        <v>102</v>
      </c>
      <c r="I272" t="s">
        <v>398</v>
      </c>
      <c r="J272">
        <v>99</v>
      </c>
      <c r="O272" t="s">
        <v>967</v>
      </c>
      <c r="P272" s="7" t="s">
        <v>393</v>
      </c>
      <c r="Q272" s="7" t="s">
        <v>393</v>
      </c>
    </row>
    <row r="273" spans="1:18" hidden="1" x14ac:dyDescent="0.25">
      <c r="A273" t="s">
        <v>399</v>
      </c>
      <c r="B273">
        <v>9322266</v>
      </c>
      <c r="D273">
        <v>80</v>
      </c>
      <c r="G273">
        <v>98</v>
      </c>
      <c r="J273">
        <v>89</v>
      </c>
      <c r="K273">
        <v>75</v>
      </c>
      <c r="P273" s="7" t="s">
        <v>393</v>
      </c>
      <c r="Q273" s="7" t="s">
        <v>393</v>
      </c>
    </row>
    <row r="274" spans="1:18" hidden="1" x14ac:dyDescent="0.25">
      <c r="A274" t="s">
        <v>400</v>
      </c>
      <c r="B274">
        <v>9323797</v>
      </c>
      <c r="D274">
        <v>45</v>
      </c>
      <c r="G274">
        <v>98</v>
      </c>
      <c r="P274" s="7" t="s">
        <v>393</v>
      </c>
      <c r="Q274" s="7" t="s">
        <v>393</v>
      </c>
    </row>
    <row r="275" spans="1:18" x14ac:dyDescent="0.25">
      <c r="A275" t="s">
        <v>303</v>
      </c>
      <c r="B275">
        <v>9315992</v>
      </c>
      <c r="D275">
        <v>35</v>
      </c>
      <c r="G275">
        <v>98</v>
      </c>
      <c r="H275">
        <v>120</v>
      </c>
      <c r="I275" t="s">
        <v>401</v>
      </c>
      <c r="J275">
        <v>88</v>
      </c>
      <c r="K275">
        <v>135</v>
      </c>
      <c r="L275" t="str">
        <f t="shared" ref="L275:L276" si="37">IF(K275:K1273&lt;=79,"sweet",IF(K275:K1273&lt;=120,"normal",IF(K275:K1273&lt;=250,"high",IF(K275:K1273&lt;=1000,"very high"))))</f>
        <v>high</v>
      </c>
      <c r="P275" s="7" t="s">
        <v>387</v>
      </c>
      <c r="Q275" s="7" t="s">
        <v>387</v>
      </c>
    </row>
    <row r="276" spans="1:18" x14ac:dyDescent="0.25">
      <c r="A276" t="s">
        <v>402</v>
      </c>
      <c r="B276">
        <v>93516812</v>
      </c>
      <c r="D276">
        <v>90</v>
      </c>
      <c r="G276">
        <v>98</v>
      </c>
      <c r="H276">
        <v>90</v>
      </c>
      <c r="I276" t="s">
        <v>403</v>
      </c>
      <c r="J276">
        <v>65</v>
      </c>
      <c r="K276">
        <v>469</v>
      </c>
      <c r="L276" t="str">
        <f t="shared" si="37"/>
        <v>very high</v>
      </c>
      <c r="P276" s="7" t="s">
        <v>393</v>
      </c>
      <c r="Q276" s="7" t="s">
        <v>393</v>
      </c>
    </row>
    <row r="277" spans="1:18" hidden="1" x14ac:dyDescent="0.25">
      <c r="A277" t="s">
        <v>404</v>
      </c>
      <c r="B277">
        <v>93543451</v>
      </c>
      <c r="D277">
        <v>22</v>
      </c>
      <c r="G277">
        <v>98</v>
      </c>
      <c r="H277">
        <v>88</v>
      </c>
      <c r="I277" t="s">
        <v>6</v>
      </c>
      <c r="P277" s="7" t="s">
        <v>393</v>
      </c>
      <c r="Q277" s="7" t="s">
        <v>393</v>
      </c>
    </row>
    <row r="278" spans="1:18" x14ac:dyDescent="0.25">
      <c r="A278" t="s">
        <v>405</v>
      </c>
      <c r="B278">
        <v>93345699</v>
      </c>
      <c r="D278">
        <v>38</v>
      </c>
      <c r="G278">
        <v>98</v>
      </c>
      <c r="H278">
        <v>72</v>
      </c>
      <c r="I278" t="s">
        <v>254</v>
      </c>
      <c r="J278">
        <v>90</v>
      </c>
      <c r="K278">
        <v>94</v>
      </c>
      <c r="L278" t="str">
        <f t="shared" ref="L278:L280" si="38">IF(K278:K1276&lt;=79,"sweet",IF(K278:K1276&lt;=120,"normal",IF(K278:K1276&lt;=250,"high",IF(K278:K1276&lt;=1000,"very high"))))</f>
        <v>normal</v>
      </c>
      <c r="P278" s="7" t="s">
        <v>393</v>
      </c>
      <c r="Q278" s="7" t="s">
        <v>393</v>
      </c>
    </row>
    <row r="279" spans="1:18" x14ac:dyDescent="0.25">
      <c r="A279" t="s">
        <v>406</v>
      </c>
      <c r="B279">
        <v>9351090</v>
      </c>
      <c r="D279">
        <v>30</v>
      </c>
      <c r="G279">
        <v>98</v>
      </c>
      <c r="H279">
        <v>129</v>
      </c>
      <c r="I279" t="s">
        <v>154</v>
      </c>
      <c r="J279">
        <v>89</v>
      </c>
      <c r="K279">
        <v>309</v>
      </c>
      <c r="L279" t="str">
        <f t="shared" si="38"/>
        <v>very high</v>
      </c>
      <c r="N279" t="s">
        <v>974</v>
      </c>
      <c r="P279" s="7" t="s">
        <v>393</v>
      </c>
      <c r="Q279" s="7" t="s">
        <v>393</v>
      </c>
      <c r="R279" t="s">
        <v>41</v>
      </c>
    </row>
    <row r="280" spans="1:18" x14ac:dyDescent="0.25">
      <c r="A280" t="s">
        <v>407</v>
      </c>
      <c r="B280">
        <v>9354807</v>
      </c>
      <c r="D280">
        <v>50</v>
      </c>
      <c r="G280">
        <v>98</v>
      </c>
      <c r="H280">
        <v>90</v>
      </c>
      <c r="I280" t="s">
        <v>31</v>
      </c>
      <c r="J280">
        <v>40</v>
      </c>
      <c r="K280">
        <v>189</v>
      </c>
      <c r="L280" t="str">
        <f t="shared" si="38"/>
        <v>high</v>
      </c>
      <c r="P280" s="7" t="s">
        <v>393</v>
      </c>
      <c r="Q280" s="7" t="s">
        <v>408</v>
      </c>
    </row>
    <row r="281" spans="1:18" hidden="1" x14ac:dyDescent="0.25">
      <c r="A281" t="s">
        <v>272</v>
      </c>
      <c r="B281">
        <v>9356643</v>
      </c>
      <c r="D281">
        <v>22</v>
      </c>
      <c r="G281">
        <v>98</v>
      </c>
      <c r="H281">
        <v>84</v>
      </c>
      <c r="I281" t="s">
        <v>6</v>
      </c>
      <c r="P281" s="7" t="s">
        <v>393</v>
      </c>
      <c r="Q281" s="7" t="s">
        <v>408</v>
      </c>
    </row>
    <row r="282" spans="1:18" x14ac:dyDescent="0.25">
      <c r="A282" t="s">
        <v>409</v>
      </c>
      <c r="B282">
        <v>9357650</v>
      </c>
      <c r="D282">
        <v>60</v>
      </c>
      <c r="G282">
        <v>98</v>
      </c>
      <c r="H282">
        <v>96</v>
      </c>
      <c r="I282" t="s">
        <v>410</v>
      </c>
      <c r="J282">
        <v>78</v>
      </c>
      <c r="K282">
        <v>335</v>
      </c>
      <c r="L282" t="str">
        <f>IF(K282:K1280&lt;=79,"sweet",IF(K282:K1280&lt;=120,"normal",IF(K282:K1280&lt;=250,"high",IF(K282:K1280&lt;=1000,"very high"))))</f>
        <v>very high</v>
      </c>
      <c r="N282" t="s">
        <v>974</v>
      </c>
      <c r="P282" s="7" t="s">
        <v>408</v>
      </c>
      <c r="Q282" s="7" t="s">
        <v>408</v>
      </c>
    </row>
    <row r="283" spans="1:18" hidden="1" x14ac:dyDescent="0.25">
      <c r="A283" t="s">
        <v>411</v>
      </c>
      <c r="B283">
        <v>88711</v>
      </c>
      <c r="D283">
        <v>70</v>
      </c>
      <c r="G283">
        <v>98</v>
      </c>
      <c r="H283">
        <v>100</v>
      </c>
      <c r="I283" t="s">
        <v>62</v>
      </c>
      <c r="J283">
        <v>80</v>
      </c>
      <c r="P283" s="7" t="s">
        <v>408</v>
      </c>
      <c r="Q283" s="7" t="s">
        <v>408</v>
      </c>
    </row>
    <row r="284" spans="1:18" x14ac:dyDescent="0.25">
      <c r="A284" t="s">
        <v>412</v>
      </c>
      <c r="B284">
        <v>9357630</v>
      </c>
      <c r="D284">
        <v>70</v>
      </c>
      <c r="G284">
        <v>98</v>
      </c>
      <c r="H284">
        <v>88</v>
      </c>
      <c r="I284" t="s">
        <v>120</v>
      </c>
      <c r="J284">
        <v>68</v>
      </c>
      <c r="K284">
        <v>138</v>
      </c>
      <c r="L284" t="str">
        <f t="shared" ref="L284:L290" si="39">IF(K284:K1282&lt;=79,"sweet",IF(K284:K1282&lt;=120,"normal",IF(K284:K1282&lt;=250,"high",IF(K284:K1282&lt;=1000,"very high"))))</f>
        <v>high</v>
      </c>
      <c r="O284" t="s">
        <v>967</v>
      </c>
      <c r="P284" s="7" t="s">
        <v>408</v>
      </c>
      <c r="Q284" s="7" t="s">
        <v>408</v>
      </c>
    </row>
    <row r="285" spans="1:18" x14ac:dyDescent="0.25">
      <c r="A285" t="s">
        <v>413</v>
      </c>
      <c r="B285">
        <v>9336189</v>
      </c>
      <c r="D285">
        <v>25</v>
      </c>
      <c r="G285">
        <v>98</v>
      </c>
      <c r="H285">
        <v>142</v>
      </c>
      <c r="I285" t="s">
        <v>414</v>
      </c>
      <c r="J285">
        <v>89</v>
      </c>
      <c r="K285">
        <v>172</v>
      </c>
      <c r="L285" t="str">
        <f t="shared" si="39"/>
        <v>high</v>
      </c>
      <c r="P285" s="7" t="s">
        <v>408</v>
      </c>
      <c r="Q285" s="7" t="s">
        <v>408</v>
      </c>
    </row>
    <row r="286" spans="1:18" x14ac:dyDescent="0.25">
      <c r="A286" t="s">
        <v>341</v>
      </c>
      <c r="B286">
        <v>9357864</v>
      </c>
      <c r="D286">
        <v>50</v>
      </c>
      <c r="G286">
        <v>98</v>
      </c>
      <c r="H286">
        <v>100</v>
      </c>
      <c r="I286" t="s">
        <v>6</v>
      </c>
      <c r="J286">
        <v>90</v>
      </c>
      <c r="K286">
        <v>90</v>
      </c>
      <c r="L286" t="str">
        <f t="shared" si="39"/>
        <v>normal</v>
      </c>
      <c r="N286" t="s">
        <v>973</v>
      </c>
      <c r="P286" s="7" t="s">
        <v>408</v>
      </c>
      <c r="Q286" s="7" t="s">
        <v>408</v>
      </c>
    </row>
    <row r="287" spans="1:18" x14ac:dyDescent="0.25">
      <c r="A287" t="s">
        <v>415</v>
      </c>
      <c r="B287">
        <v>9335884</v>
      </c>
      <c r="D287">
        <v>70</v>
      </c>
      <c r="G287">
        <v>98</v>
      </c>
      <c r="H287">
        <v>88</v>
      </c>
      <c r="I287" t="s">
        <v>43</v>
      </c>
      <c r="J287">
        <v>74</v>
      </c>
      <c r="K287">
        <v>92</v>
      </c>
      <c r="L287" t="str">
        <f t="shared" si="39"/>
        <v>normal</v>
      </c>
      <c r="N287" t="s">
        <v>973</v>
      </c>
      <c r="P287" s="7" t="s">
        <v>408</v>
      </c>
      <c r="Q287" s="7" t="s">
        <v>408</v>
      </c>
      <c r="R287" t="s">
        <v>41</v>
      </c>
    </row>
    <row r="288" spans="1:18" x14ac:dyDescent="0.25">
      <c r="A288" t="s">
        <v>416</v>
      </c>
      <c r="B288">
        <v>9358578</v>
      </c>
      <c r="D288">
        <v>60</v>
      </c>
      <c r="G288">
        <v>98</v>
      </c>
      <c r="H288">
        <v>100</v>
      </c>
      <c r="I288" t="s">
        <v>6</v>
      </c>
      <c r="J288">
        <v>96</v>
      </c>
      <c r="K288">
        <v>381</v>
      </c>
      <c r="L288" t="str">
        <f t="shared" si="39"/>
        <v>very high</v>
      </c>
      <c r="P288" s="7" t="s">
        <v>408</v>
      </c>
      <c r="Q288" s="7" t="s">
        <v>246</v>
      </c>
    </row>
    <row r="289" spans="1:17" x14ac:dyDescent="0.25">
      <c r="A289" t="s">
        <v>417</v>
      </c>
      <c r="B289">
        <v>93761051</v>
      </c>
      <c r="D289">
        <v>32</v>
      </c>
      <c r="G289">
        <v>98</v>
      </c>
      <c r="H289">
        <v>68</v>
      </c>
      <c r="I289" t="s">
        <v>154</v>
      </c>
      <c r="J289">
        <v>65</v>
      </c>
      <c r="K289">
        <v>101</v>
      </c>
      <c r="L289" t="str">
        <f t="shared" si="39"/>
        <v>normal</v>
      </c>
      <c r="O289" t="s">
        <v>968</v>
      </c>
      <c r="P289" s="7" t="s">
        <v>246</v>
      </c>
      <c r="Q289" s="7" t="s">
        <v>246</v>
      </c>
    </row>
    <row r="290" spans="1:17" x14ac:dyDescent="0.25">
      <c r="A290" t="s">
        <v>418</v>
      </c>
      <c r="B290">
        <v>9334361</v>
      </c>
      <c r="D290">
        <v>61</v>
      </c>
      <c r="G290">
        <v>98</v>
      </c>
      <c r="H290">
        <v>63</v>
      </c>
      <c r="I290" t="s">
        <v>419</v>
      </c>
      <c r="J290">
        <v>98</v>
      </c>
      <c r="K290">
        <v>143</v>
      </c>
      <c r="L290" t="str">
        <f t="shared" si="39"/>
        <v>high</v>
      </c>
      <c r="P290" s="7" t="s">
        <v>246</v>
      </c>
      <c r="Q290" s="7" t="s">
        <v>246</v>
      </c>
    </row>
    <row r="291" spans="1:17" hidden="1" x14ac:dyDescent="0.25">
      <c r="A291" t="s">
        <v>420</v>
      </c>
      <c r="B291">
        <v>5704</v>
      </c>
      <c r="D291">
        <v>70</v>
      </c>
      <c r="G291">
        <v>98</v>
      </c>
      <c r="H291">
        <v>82</v>
      </c>
      <c r="I291" t="s">
        <v>94</v>
      </c>
      <c r="P291" s="7" t="s">
        <v>246</v>
      </c>
      <c r="Q291" s="7" t="s">
        <v>246</v>
      </c>
    </row>
    <row r="292" spans="1:17" x14ac:dyDescent="0.25">
      <c r="A292" t="s">
        <v>421</v>
      </c>
      <c r="B292">
        <v>94325181</v>
      </c>
      <c r="D292">
        <v>55</v>
      </c>
      <c r="G292">
        <v>98</v>
      </c>
      <c r="H292">
        <v>60</v>
      </c>
      <c r="I292" t="s">
        <v>154</v>
      </c>
      <c r="J292">
        <v>82</v>
      </c>
      <c r="K292">
        <v>123</v>
      </c>
      <c r="L292" t="str">
        <f t="shared" ref="L292:L293" si="40">IF(K292:K1290&lt;=79,"sweet",IF(K292:K1290&lt;=120,"normal",IF(K292:K1290&lt;=250,"high",IF(K292:K1290&lt;=1000,"very high"))))</f>
        <v>high</v>
      </c>
      <c r="P292" s="7" t="s">
        <v>422</v>
      </c>
      <c r="Q292" s="7" t="s">
        <v>422</v>
      </c>
    </row>
    <row r="293" spans="1:17" x14ac:dyDescent="0.25">
      <c r="A293" t="s">
        <v>423</v>
      </c>
      <c r="B293">
        <v>9434312</v>
      </c>
      <c r="D293">
        <v>60</v>
      </c>
      <c r="G293">
        <v>98</v>
      </c>
      <c r="H293">
        <v>80</v>
      </c>
      <c r="I293" t="s">
        <v>62</v>
      </c>
      <c r="J293">
        <v>40</v>
      </c>
      <c r="K293">
        <v>222</v>
      </c>
      <c r="L293" t="str">
        <f t="shared" si="40"/>
        <v>high</v>
      </c>
      <c r="P293" s="7" t="s">
        <v>422</v>
      </c>
      <c r="Q293" s="7" t="s">
        <v>422</v>
      </c>
    </row>
    <row r="294" spans="1:17" hidden="1" x14ac:dyDescent="0.25">
      <c r="A294" t="s">
        <v>424</v>
      </c>
      <c r="B294">
        <v>94563542</v>
      </c>
      <c r="D294">
        <v>70</v>
      </c>
      <c r="G294">
        <v>98</v>
      </c>
      <c r="J294">
        <v>78</v>
      </c>
      <c r="P294" s="7" t="s">
        <v>422</v>
      </c>
      <c r="Q294" s="7" t="s">
        <v>422</v>
      </c>
    </row>
    <row r="295" spans="1:17" x14ac:dyDescent="0.25">
      <c r="A295" t="s">
        <v>213</v>
      </c>
      <c r="B295">
        <v>9460508</v>
      </c>
      <c r="D295">
        <v>45</v>
      </c>
      <c r="G295">
        <v>98</v>
      </c>
      <c r="H295">
        <v>88</v>
      </c>
      <c r="I295" t="s">
        <v>94</v>
      </c>
      <c r="J295">
        <v>68</v>
      </c>
      <c r="K295">
        <v>180</v>
      </c>
      <c r="L295" t="str">
        <f t="shared" ref="L295:L298" si="41">IF(K295:K1293&lt;=79,"sweet",IF(K295:K1293&lt;=120,"normal",IF(K295:K1293&lt;=250,"high",IF(K295:K1293&lt;=1000,"very high"))))</f>
        <v>high</v>
      </c>
      <c r="M295" t="s">
        <v>36</v>
      </c>
      <c r="P295" s="7" t="s">
        <v>422</v>
      </c>
      <c r="Q295" s="7" t="s">
        <v>422</v>
      </c>
    </row>
    <row r="296" spans="1:17" x14ac:dyDescent="0.25">
      <c r="A296" t="s">
        <v>425</v>
      </c>
      <c r="B296">
        <v>9463741</v>
      </c>
      <c r="D296">
        <v>60</v>
      </c>
      <c r="G296">
        <v>98</v>
      </c>
      <c r="H296">
        <v>90</v>
      </c>
      <c r="I296" t="s">
        <v>120</v>
      </c>
      <c r="J296">
        <v>89</v>
      </c>
      <c r="K296">
        <v>293</v>
      </c>
      <c r="L296" t="str">
        <f t="shared" si="41"/>
        <v>very high</v>
      </c>
      <c r="P296" s="7" t="s">
        <v>221</v>
      </c>
      <c r="Q296" s="7" t="s">
        <v>221</v>
      </c>
    </row>
    <row r="297" spans="1:17" x14ac:dyDescent="0.25">
      <c r="A297" t="s">
        <v>284</v>
      </c>
      <c r="B297">
        <v>98754656</v>
      </c>
      <c r="D297">
        <v>50</v>
      </c>
      <c r="G297">
        <v>98</v>
      </c>
      <c r="H297">
        <v>72</v>
      </c>
      <c r="I297" t="s">
        <v>6</v>
      </c>
      <c r="J297">
        <v>90</v>
      </c>
      <c r="K297">
        <v>150</v>
      </c>
      <c r="L297" t="str">
        <f t="shared" si="41"/>
        <v>high</v>
      </c>
      <c r="P297" s="7" t="s">
        <v>422</v>
      </c>
      <c r="Q297" s="7" t="s">
        <v>422</v>
      </c>
    </row>
    <row r="298" spans="1:17" x14ac:dyDescent="0.25">
      <c r="A298" t="s">
        <v>285</v>
      </c>
      <c r="B298">
        <v>92581461</v>
      </c>
      <c r="D298">
        <v>65</v>
      </c>
      <c r="G298">
        <v>98</v>
      </c>
      <c r="H298">
        <v>71</v>
      </c>
      <c r="I298" t="s">
        <v>49</v>
      </c>
      <c r="J298">
        <v>91</v>
      </c>
      <c r="K298">
        <v>302</v>
      </c>
      <c r="L298" t="str">
        <f t="shared" si="41"/>
        <v>very high</v>
      </c>
      <c r="P298" s="7" t="s">
        <v>422</v>
      </c>
      <c r="Q298" s="7" t="s">
        <v>422</v>
      </c>
    </row>
    <row r="299" spans="1:17" hidden="1" x14ac:dyDescent="0.25">
      <c r="A299" t="s">
        <v>286</v>
      </c>
      <c r="B299">
        <v>98299140</v>
      </c>
      <c r="D299">
        <v>70</v>
      </c>
      <c r="G299">
        <v>98</v>
      </c>
      <c r="H299">
        <v>72</v>
      </c>
      <c r="I299" t="s">
        <v>6</v>
      </c>
      <c r="J299">
        <v>98</v>
      </c>
      <c r="K299">
        <v>72</v>
      </c>
      <c r="P299" s="7" t="s">
        <v>221</v>
      </c>
      <c r="Q299" s="7" t="s">
        <v>221</v>
      </c>
    </row>
    <row r="300" spans="1:17" hidden="1" x14ac:dyDescent="0.25">
      <c r="A300" t="s">
        <v>252</v>
      </c>
      <c r="B300">
        <v>9624554</v>
      </c>
      <c r="D300">
        <v>25</v>
      </c>
      <c r="G300">
        <v>98</v>
      </c>
      <c r="H300">
        <v>76</v>
      </c>
      <c r="I300" t="s">
        <v>68</v>
      </c>
      <c r="P300" s="7" t="s">
        <v>238</v>
      </c>
      <c r="Q300" s="7" t="s">
        <v>238</v>
      </c>
    </row>
    <row r="301" spans="1:17" x14ac:dyDescent="0.25">
      <c r="A301" t="s">
        <v>253</v>
      </c>
      <c r="B301">
        <v>9672253</v>
      </c>
      <c r="D301">
        <v>75</v>
      </c>
      <c r="G301">
        <v>98</v>
      </c>
      <c r="H301">
        <v>120</v>
      </c>
      <c r="I301" t="s">
        <v>96</v>
      </c>
      <c r="J301">
        <v>92</v>
      </c>
      <c r="K301">
        <v>183</v>
      </c>
      <c r="L301" t="str">
        <f t="shared" ref="L301:L302" si="42">IF(K301:K1299&lt;=79,"sweet",IF(K301:K1299&lt;=120,"normal",IF(K301:K1299&lt;=250,"high",IF(K301:K1299&lt;=1000,"very high"))))</f>
        <v>high</v>
      </c>
      <c r="P301" s="7" t="s">
        <v>238</v>
      </c>
      <c r="Q301" s="7" t="s">
        <v>238</v>
      </c>
    </row>
    <row r="302" spans="1:17" x14ac:dyDescent="0.25">
      <c r="A302" t="s">
        <v>251</v>
      </c>
      <c r="B302">
        <v>9652233</v>
      </c>
      <c r="D302">
        <v>70</v>
      </c>
      <c r="G302">
        <v>98</v>
      </c>
      <c r="H302">
        <v>90</v>
      </c>
      <c r="I302" t="s">
        <v>77</v>
      </c>
      <c r="J302">
        <v>40</v>
      </c>
      <c r="K302">
        <v>330</v>
      </c>
      <c r="L302" t="str">
        <f t="shared" si="42"/>
        <v>very high</v>
      </c>
      <c r="P302" s="7" t="s">
        <v>238</v>
      </c>
      <c r="Q302" s="7" t="s">
        <v>238</v>
      </c>
    </row>
    <row r="303" spans="1:17" hidden="1" x14ac:dyDescent="0.25">
      <c r="A303" t="s">
        <v>127</v>
      </c>
      <c r="B303">
        <v>29521</v>
      </c>
      <c r="D303">
        <v>89</v>
      </c>
      <c r="G303">
        <v>98</v>
      </c>
      <c r="H303">
        <v>89</v>
      </c>
      <c r="J303">
        <v>78</v>
      </c>
      <c r="M303" t="s">
        <v>36</v>
      </c>
      <c r="P303" s="7" t="s">
        <v>238</v>
      </c>
      <c r="Q303" s="7" t="s">
        <v>238</v>
      </c>
    </row>
    <row r="304" spans="1:17" hidden="1" x14ac:dyDescent="0.25">
      <c r="A304" t="s">
        <v>165</v>
      </c>
      <c r="B304">
        <v>9612381</v>
      </c>
      <c r="D304">
        <v>60</v>
      </c>
      <c r="G304">
        <v>98</v>
      </c>
      <c r="I304" t="s">
        <v>249</v>
      </c>
      <c r="J304">
        <v>68</v>
      </c>
      <c r="P304" s="7" t="s">
        <v>242</v>
      </c>
      <c r="Q304" s="7" t="s">
        <v>238</v>
      </c>
    </row>
    <row r="305" spans="1:18" x14ac:dyDescent="0.25">
      <c r="A305" t="s">
        <v>250</v>
      </c>
      <c r="B305">
        <v>317513</v>
      </c>
      <c r="D305">
        <v>65</v>
      </c>
      <c r="G305">
        <v>98</v>
      </c>
      <c r="H305">
        <v>78</v>
      </c>
      <c r="I305" t="s">
        <v>194</v>
      </c>
      <c r="J305">
        <v>89</v>
      </c>
      <c r="K305">
        <v>639</v>
      </c>
      <c r="L305" t="str">
        <f t="shared" ref="L305:L306" si="43">IF(K305:K1303&lt;=79,"sweet",IF(K305:K1303&lt;=120,"normal",IF(K305:K1303&lt;=250,"high",IF(K305:K1303&lt;=1000,"very high"))))</f>
        <v>very high</v>
      </c>
      <c r="N305" t="s">
        <v>974</v>
      </c>
      <c r="P305" s="7" t="s">
        <v>238</v>
      </c>
      <c r="Q305" s="7" t="s">
        <v>238</v>
      </c>
    </row>
    <row r="306" spans="1:18" x14ac:dyDescent="0.25">
      <c r="A306" t="s">
        <v>183</v>
      </c>
      <c r="B306">
        <v>965585</v>
      </c>
      <c r="D306">
        <v>25</v>
      </c>
      <c r="G306">
        <v>98</v>
      </c>
      <c r="H306">
        <v>70</v>
      </c>
      <c r="I306" t="s">
        <v>0</v>
      </c>
      <c r="J306">
        <v>90</v>
      </c>
      <c r="K306">
        <v>234</v>
      </c>
      <c r="L306" t="str">
        <f t="shared" si="43"/>
        <v>high</v>
      </c>
      <c r="P306" s="7">
        <v>44532</v>
      </c>
      <c r="Q306" s="7">
        <v>44532</v>
      </c>
    </row>
    <row r="307" spans="1:18" hidden="1" x14ac:dyDescent="0.25">
      <c r="A307" t="s">
        <v>184</v>
      </c>
      <c r="B307">
        <v>215484</v>
      </c>
      <c r="D307">
        <v>30</v>
      </c>
      <c r="G307">
        <v>98</v>
      </c>
      <c r="I307" t="s">
        <v>0</v>
      </c>
      <c r="J307">
        <v>10</v>
      </c>
      <c r="P307" s="7" t="s">
        <v>176</v>
      </c>
      <c r="Q307" s="7">
        <v>44532</v>
      </c>
    </row>
    <row r="308" spans="1:18" hidden="1" x14ac:dyDescent="0.25">
      <c r="A308" t="s">
        <v>185</v>
      </c>
      <c r="B308">
        <v>548484</v>
      </c>
      <c r="D308">
        <v>60</v>
      </c>
      <c r="G308">
        <v>98</v>
      </c>
      <c r="H308">
        <v>125</v>
      </c>
      <c r="I308" t="s">
        <v>6</v>
      </c>
      <c r="J308">
        <v>92</v>
      </c>
      <c r="P308" s="7">
        <v>44532</v>
      </c>
      <c r="Q308" s="7">
        <v>44532</v>
      </c>
    </row>
    <row r="309" spans="1:18" x14ac:dyDescent="0.25">
      <c r="A309" t="s">
        <v>135</v>
      </c>
      <c r="B309">
        <v>235962</v>
      </c>
      <c r="D309">
        <v>60</v>
      </c>
      <c r="G309">
        <v>98</v>
      </c>
      <c r="H309">
        <v>132</v>
      </c>
      <c r="I309" t="s">
        <v>136</v>
      </c>
      <c r="J309">
        <v>99</v>
      </c>
      <c r="K309">
        <v>168</v>
      </c>
      <c r="L309" t="str">
        <f t="shared" ref="L309:L314" si="44">IF(K309:K1307&lt;=79,"sweet",IF(K309:K1307&lt;=120,"normal",IF(K309:K1307&lt;=250,"high",IF(K309:K1307&lt;=1000,"very high"))))</f>
        <v>high</v>
      </c>
      <c r="P309" s="7" t="s">
        <v>128</v>
      </c>
      <c r="Q309" s="7" t="s">
        <v>133</v>
      </c>
    </row>
    <row r="310" spans="1:18" x14ac:dyDescent="0.25">
      <c r="A310" t="s">
        <v>137</v>
      </c>
      <c r="B310">
        <v>234566</v>
      </c>
      <c r="D310">
        <v>50</v>
      </c>
      <c r="G310">
        <v>98</v>
      </c>
      <c r="H310">
        <v>88</v>
      </c>
      <c r="I310" t="s">
        <v>94</v>
      </c>
      <c r="J310">
        <v>40</v>
      </c>
      <c r="K310">
        <v>88</v>
      </c>
      <c r="L310" t="str">
        <f t="shared" si="44"/>
        <v>normal</v>
      </c>
      <c r="P310" s="7" t="s">
        <v>133</v>
      </c>
      <c r="Q310" s="7" t="s">
        <v>133</v>
      </c>
    </row>
    <row r="311" spans="1:18" x14ac:dyDescent="0.25">
      <c r="A311" t="s">
        <v>138</v>
      </c>
      <c r="B311">
        <v>232645</v>
      </c>
      <c r="D311">
        <v>50</v>
      </c>
      <c r="G311">
        <v>98</v>
      </c>
      <c r="H311">
        <v>78</v>
      </c>
      <c r="I311" t="s">
        <v>18</v>
      </c>
      <c r="J311">
        <v>78</v>
      </c>
      <c r="K311">
        <v>130</v>
      </c>
      <c r="L311" t="str">
        <f t="shared" si="44"/>
        <v>high</v>
      </c>
      <c r="P311" s="7" t="s">
        <v>131</v>
      </c>
      <c r="Q311" s="7" t="s">
        <v>131</v>
      </c>
    </row>
    <row r="312" spans="1:18" x14ac:dyDescent="0.25">
      <c r="A312" t="s">
        <v>139</v>
      </c>
      <c r="B312">
        <v>986563</v>
      </c>
      <c r="D312">
        <v>50</v>
      </c>
      <c r="G312">
        <v>98</v>
      </c>
      <c r="H312">
        <v>124</v>
      </c>
      <c r="I312" t="s">
        <v>96</v>
      </c>
      <c r="J312">
        <v>68</v>
      </c>
      <c r="K312">
        <v>197</v>
      </c>
      <c r="L312" t="str">
        <f t="shared" si="44"/>
        <v>high</v>
      </c>
      <c r="O312" t="s">
        <v>967</v>
      </c>
      <c r="P312" s="7" t="s">
        <v>131</v>
      </c>
      <c r="Q312" s="7" t="s">
        <v>131</v>
      </c>
    </row>
    <row r="313" spans="1:18" x14ac:dyDescent="0.25">
      <c r="A313" t="s">
        <v>140</v>
      </c>
      <c r="B313">
        <v>135454</v>
      </c>
      <c r="D313">
        <v>50</v>
      </c>
      <c r="G313">
        <v>98</v>
      </c>
      <c r="H313">
        <v>80</v>
      </c>
      <c r="I313" t="s">
        <v>74</v>
      </c>
      <c r="J313">
        <v>89</v>
      </c>
      <c r="K313">
        <v>161</v>
      </c>
      <c r="L313" t="str">
        <f t="shared" si="44"/>
        <v>high</v>
      </c>
      <c r="P313" s="7" t="s">
        <v>142</v>
      </c>
      <c r="Q313" s="7" t="s">
        <v>142</v>
      </c>
    </row>
    <row r="314" spans="1:18" x14ac:dyDescent="0.25">
      <c r="A314" t="s">
        <v>163</v>
      </c>
      <c r="B314">
        <v>489421</v>
      </c>
      <c r="D314">
        <v>80</v>
      </c>
      <c r="G314">
        <v>100</v>
      </c>
      <c r="H314">
        <v>100</v>
      </c>
      <c r="I314" t="s">
        <v>154</v>
      </c>
      <c r="J314">
        <v>90</v>
      </c>
      <c r="K314">
        <v>551</v>
      </c>
      <c r="L314" t="str">
        <f t="shared" si="44"/>
        <v>very high</v>
      </c>
      <c r="P314" s="7">
        <v>44471</v>
      </c>
      <c r="Q314" s="7">
        <v>44502</v>
      </c>
      <c r="R314" t="s">
        <v>41</v>
      </c>
    </row>
    <row r="315" spans="1:18" hidden="1" x14ac:dyDescent="0.25">
      <c r="A315" t="s">
        <v>164</v>
      </c>
      <c r="B315">
        <v>565656</v>
      </c>
      <c r="D315">
        <v>60</v>
      </c>
      <c r="G315">
        <v>98</v>
      </c>
      <c r="H315">
        <v>100</v>
      </c>
      <c r="I315" t="s">
        <v>74</v>
      </c>
      <c r="P315" s="7">
        <v>44502</v>
      </c>
      <c r="Q315" s="7">
        <v>44502</v>
      </c>
    </row>
    <row r="316" spans="1:18" x14ac:dyDescent="0.25">
      <c r="A316" t="s">
        <v>165</v>
      </c>
      <c r="B316">
        <v>365656</v>
      </c>
      <c r="D316">
        <v>65</v>
      </c>
      <c r="G316">
        <v>98</v>
      </c>
      <c r="H316">
        <v>78</v>
      </c>
      <c r="I316" t="s">
        <v>6</v>
      </c>
      <c r="J316">
        <v>90</v>
      </c>
      <c r="K316">
        <v>166</v>
      </c>
      <c r="L316" t="str">
        <f>IF(K316:K1314&lt;=79,"sweet",IF(K316:K1314&lt;=120,"normal",IF(K316:K1314&lt;=250,"high",IF(K316:K1314&lt;=1000,"very high"))))</f>
        <v>high</v>
      </c>
      <c r="P316" s="7">
        <v>44471</v>
      </c>
      <c r="Q316" s="7">
        <v>44502</v>
      </c>
    </row>
    <row r="317" spans="1:18" hidden="1" x14ac:dyDescent="0.25">
      <c r="A317" t="s">
        <v>166</v>
      </c>
      <c r="B317">
        <v>625151</v>
      </c>
      <c r="D317">
        <v>45</v>
      </c>
      <c r="G317">
        <v>98</v>
      </c>
      <c r="I317" t="s">
        <v>0</v>
      </c>
      <c r="K317">
        <v>76</v>
      </c>
      <c r="O317" t="s">
        <v>968</v>
      </c>
      <c r="P317" s="7">
        <v>44502</v>
      </c>
      <c r="Q317" s="7">
        <v>44502</v>
      </c>
    </row>
    <row r="318" spans="1:18" hidden="1" x14ac:dyDescent="0.25">
      <c r="A318" t="s">
        <v>148</v>
      </c>
      <c r="B318">
        <v>286524</v>
      </c>
      <c r="D318">
        <v>60</v>
      </c>
      <c r="G318">
        <v>98</v>
      </c>
      <c r="H318">
        <v>78</v>
      </c>
      <c r="I318" t="s">
        <v>53</v>
      </c>
      <c r="P318" s="7" t="s">
        <v>142</v>
      </c>
      <c r="Q318" s="7" t="s">
        <v>147</v>
      </c>
    </row>
    <row r="319" spans="1:18" x14ac:dyDescent="0.25">
      <c r="A319" t="s">
        <v>149</v>
      </c>
      <c r="B319">
        <v>283553</v>
      </c>
      <c r="D319">
        <v>22</v>
      </c>
      <c r="G319">
        <v>98</v>
      </c>
      <c r="H319">
        <v>80</v>
      </c>
      <c r="I319" t="s">
        <v>49</v>
      </c>
      <c r="J319">
        <v>40</v>
      </c>
      <c r="K319">
        <v>128</v>
      </c>
      <c r="L319" t="str">
        <f t="shared" ref="L319:L320" si="45">IF(K319:K1317&lt;=79,"sweet",IF(K319:K1317&lt;=120,"normal",IF(K319:K1317&lt;=250,"high",IF(K319:K1317&lt;=1000,"very high"))))</f>
        <v>high</v>
      </c>
      <c r="P319" s="7" t="s">
        <v>142</v>
      </c>
      <c r="Q319" s="7" t="s">
        <v>147</v>
      </c>
    </row>
    <row r="320" spans="1:18" x14ac:dyDescent="0.25">
      <c r="A320" t="s">
        <v>150</v>
      </c>
      <c r="B320">
        <v>285128</v>
      </c>
      <c r="D320">
        <v>78</v>
      </c>
      <c r="G320">
        <v>98</v>
      </c>
      <c r="H320">
        <v>96</v>
      </c>
      <c r="I320" s="3" t="s">
        <v>96</v>
      </c>
      <c r="J320">
        <v>78</v>
      </c>
      <c r="K320">
        <v>214</v>
      </c>
      <c r="L320" t="str">
        <f t="shared" si="45"/>
        <v>high</v>
      </c>
      <c r="P320" s="7" t="s">
        <v>142</v>
      </c>
      <c r="Q320" s="7" t="s">
        <v>147</v>
      </c>
    </row>
    <row r="321" spans="1:18" hidden="1" x14ac:dyDescent="0.25">
      <c r="A321" t="s">
        <v>174</v>
      </c>
      <c r="B321">
        <v>265484</v>
      </c>
      <c r="D321">
        <v>60</v>
      </c>
      <c r="G321">
        <v>98.6</v>
      </c>
      <c r="H321">
        <v>105</v>
      </c>
      <c r="I321" t="s">
        <v>175</v>
      </c>
      <c r="J321">
        <v>68</v>
      </c>
      <c r="K321">
        <v>32</v>
      </c>
      <c r="P321" s="7" t="s">
        <v>176</v>
      </c>
      <c r="Q321" s="7" t="s">
        <v>176</v>
      </c>
    </row>
    <row r="322" spans="1:18" x14ac:dyDescent="0.25">
      <c r="A322" t="s">
        <v>177</v>
      </c>
      <c r="B322">
        <v>265897</v>
      </c>
      <c r="D322">
        <v>62</v>
      </c>
      <c r="G322">
        <v>98</v>
      </c>
      <c r="H322">
        <v>140</v>
      </c>
      <c r="I322" t="s">
        <v>178</v>
      </c>
      <c r="J322">
        <v>89</v>
      </c>
      <c r="K322">
        <v>143</v>
      </c>
      <c r="L322" t="str">
        <f t="shared" ref="L322:L323" si="46">IF(K322:K1320&lt;=79,"sweet",IF(K322:K1320&lt;=120,"normal",IF(K322:K1320&lt;=250,"high",IF(K322:K1320&lt;=1000,"very high"))))</f>
        <v>high</v>
      </c>
      <c r="P322" s="7">
        <v>44502</v>
      </c>
      <c r="Q322" s="7" t="s">
        <v>176</v>
      </c>
    </row>
    <row r="323" spans="1:18" x14ac:dyDescent="0.25">
      <c r="A323" t="s">
        <v>179</v>
      </c>
      <c r="D323">
        <v>47</v>
      </c>
      <c r="G323">
        <v>99</v>
      </c>
      <c r="H323">
        <v>88</v>
      </c>
      <c r="I323" t="s">
        <v>31</v>
      </c>
      <c r="J323">
        <v>90</v>
      </c>
      <c r="K323">
        <v>80</v>
      </c>
      <c r="L323" t="str">
        <f t="shared" si="46"/>
        <v>normal</v>
      </c>
      <c r="M323" t="s">
        <v>36</v>
      </c>
      <c r="P323" s="7">
        <v>44288</v>
      </c>
      <c r="Q323" s="7">
        <v>44288</v>
      </c>
    </row>
    <row r="324" spans="1:18" hidden="1" x14ac:dyDescent="0.25">
      <c r="A324" t="s">
        <v>73</v>
      </c>
      <c r="B324">
        <v>315844</v>
      </c>
      <c r="D324">
        <v>75</v>
      </c>
      <c r="G324">
        <v>98</v>
      </c>
      <c r="H324">
        <v>80</v>
      </c>
      <c r="I324" t="s">
        <v>154</v>
      </c>
      <c r="K324">
        <v>22</v>
      </c>
      <c r="P324" s="7">
        <v>44288</v>
      </c>
      <c r="Q324" s="7">
        <v>44288</v>
      </c>
    </row>
    <row r="325" spans="1:18" x14ac:dyDescent="0.25">
      <c r="A325" t="s">
        <v>156</v>
      </c>
      <c r="B325">
        <v>132155</v>
      </c>
      <c r="D325">
        <v>80</v>
      </c>
      <c r="G325">
        <v>98</v>
      </c>
      <c r="H325">
        <v>84</v>
      </c>
      <c r="I325" t="s">
        <v>157</v>
      </c>
      <c r="J325">
        <v>98</v>
      </c>
      <c r="K325">
        <v>97</v>
      </c>
      <c r="L325" t="str">
        <f t="shared" ref="L325:L328" si="47">IF(K325:K1323&lt;=79,"sweet",IF(K325:K1323&lt;=120,"normal",IF(K325:K1323&lt;=250,"high",IF(K325:K1323&lt;=1000,"very high"))))</f>
        <v>normal</v>
      </c>
      <c r="P325" s="7" t="s">
        <v>147</v>
      </c>
      <c r="Q325" s="7" t="s">
        <v>147</v>
      </c>
    </row>
    <row r="326" spans="1:18" x14ac:dyDescent="0.25">
      <c r="A326" t="s">
        <v>158</v>
      </c>
      <c r="B326">
        <v>115515</v>
      </c>
      <c r="D326">
        <v>55</v>
      </c>
      <c r="G326">
        <v>98</v>
      </c>
      <c r="H326">
        <v>82</v>
      </c>
      <c r="I326" t="s">
        <v>6</v>
      </c>
      <c r="J326">
        <v>125</v>
      </c>
      <c r="K326">
        <v>253</v>
      </c>
      <c r="L326" t="str">
        <f t="shared" si="47"/>
        <v>very high</v>
      </c>
      <c r="P326" s="7" t="s">
        <v>147</v>
      </c>
      <c r="Q326" s="7" t="s">
        <v>147</v>
      </c>
    </row>
    <row r="327" spans="1:18" x14ac:dyDescent="0.25">
      <c r="A327" t="s">
        <v>137</v>
      </c>
      <c r="B327">
        <v>231515</v>
      </c>
      <c r="D327">
        <v>45</v>
      </c>
      <c r="G327">
        <v>98</v>
      </c>
      <c r="H327">
        <v>96</v>
      </c>
      <c r="I327" t="s">
        <v>159</v>
      </c>
      <c r="J327">
        <v>82</v>
      </c>
      <c r="K327">
        <v>130</v>
      </c>
      <c r="L327" t="str">
        <f t="shared" si="47"/>
        <v>high</v>
      </c>
      <c r="P327" s="7" t="s">
        <v>147</v>
      </c>
      <c r="Q327" s="7" t="s">
        <v>147</v>
      </c>
    </row>
    <row r="328" spans="1:18" x14ac:dyDescent="0.25">
      <c r="A328" t="s">
        <v>122</v>
      </c>
      <c r="B328">
        <v>259807</v>
      </c>
      <c r="D328">
        <v>60</v>
      </c>
      <c r="G328">
        <v>98</v>
      </c>
      <c r="H328">
        <v>86</v>
      </c>
      <c r="I328" t="s">
        <v>79</v>
      </c>
      <c r="J328">
        <v>78</v>
      </c>
      <c r="K328">
        <v>180</v>
      </c>
      <c r="L328" t="str">
        <f t="shared" si="47"/>
        <v>high</v>
      </c>
      <c r="O328" t="s">
        <v>967</v>
      </c>
      <c r="P328" s="7">
        <v>44471</v>
      </c>
      <c r="Q328" s="7">
        <v>44471</v>
      </c>
    </row>
    <row r="329" spans="1:18" hidden="1" x14ac:dyDescent="0.25">
      <c r="A329" t="s">
        <v>160</v>
      </c>
      <c r="B329">
        <v>213843</v>
      </c>
      <c r="D329">
        <v>77</v>
      </c>
      <c r="G329">
        <v>99</v>
      </c>
      <c r="H329">
        <v>89</v>
      </c>
      <c r="I329" t="s">
        <v>161</v>
      </c>
      <c r="J329">
        <v>83</v>
      </c>
      <c r="K329" t="s">
        <v>162</v>
      </c>
      <c r="O329" t="s">
        <v>967</v>
      </c>
      <c r="P329" s="7">
        <v>44471</v>
      </c>
      <c r="Q329" s="7">
        <v>44471</v>
      </c>
    </row>
    <row r="330" spans="1:18" x14ac:dyDescent="0.25">
      <c r="A330" t="s">
        <v>191</v>
      </c>
      <c r="B330">
        <v>215564</v>
      </c>
      <c r="D330">
        <v>70</v>
      </c>
      <c r="G330">
        <v>98</v>
      </c>
      <c r="H330">
        <v>111</v>
      </c>
      <c r="I330" t="s">
        <v>192</v>
      </c>
      <c r="J330">
        <v>98</v>
      </c>
      <c r="K330">
        <v>129</v>
      </c>
      <c r="L330" t="str">
        <f t="shared" ref="L330:L332" si="48">IF(K330:K1328&lt;=79,"sweet",IF(K330:K1328&lt;=120,"normal",IF(K330:K1328&lt;=250,"high",IF(K330:K1328&lt;=1000,"very high"))))</f>
        <v>high</v>
      </c>
      <c r="P330" s="7">
        <v>44502</v>
      </c>
      <c r="Q330" s="7" t="s">
        <v>176</v>
      </c>
    </row>
    <row r="331" spans="1:18" x14ac:dyDescent="0.25">
      <c r="A331" t="s">
        <v>193</v>
      </c>
      <c r="B331">
        <v>545456</v>
      </c>
      <c r="D331">
        <v>22</v>
      </c>
      <c r="G331">
        <v>99</v>
      </c>
      <c r="H331">
        <v>100</v>
      </c>
      <c r="I331" t="s">
        <v>194</v>
      </c>
      <c r="J331">
        <v>86</v>
      </c>
      <c r="K331">
        <v>163</v>
      </c>
      <c r="L331" t="str">
        <f t="shared" si="48"/>
        <v>high</v>
      </c>
      <c r="M331" t="s">
        <v>36</v>
      </c>
      <c r="P331" s="7" t="s">
        <v>176</v>
      </c>
      <c r="Q331" s="7" t="s">
        <v>176</v>
      </c>
    </row>
    <row r="332" spans="1:18" x14ac:dyDescent="0.25">
      <c r="A332" t="s">
        <v>197</v>
      </c>
      <c r="B332">
        <v>787847</v>
      </c>
      <c r="D332">
        <v>50</v>
      </c>
      <c r="G332">
        <v>98</v>
      </c>
      <c r="H332">
        <v>80</v>
      </c>
      <c r="I332" t="s">
        <v>49</v>
      </c>
      <c r="J332">
        <v>68</v>
      </c>
      <c r="K332">
        <v>542</v>
      </c>
      <c r="L332" t="str">
        <f t="shared" si="48"/>
        <v>very high</v>
      </c>
      <c r="P332" s="7" t="s">
        <v>196</v>
      </c>
      <c r="Q332" s="7" t="s">
        <v>196</v>
      </c>
      <c r="R332" t="s">
        <v>41</v>
      </c>
    </row>
    <row r="333" spans="1:18" hidden="1" x14ac:dyDescent="0.25">
      <c r="A333" t="s">
        <v>197</v>
      </c>
      <c r="B333">
        <v>787941</v>
      </c>
      <c r="D333">
        <v>45</v>
      </c>
      <c r="G333">
        <v>98</v>
      </c>
      <c r="H333">
        <v>90</v>
      </c>
      <c r="I333" t="s">
        <v>94</v>
      </c>
      <c r="P333" s="7" t="s">
        <v>176</v>
      </c>
      <c r="Q333" s="7" t="s">
        <v>196</v>
      </c>
    </row>
    <row r="334" spans="1:18" x14ac:dyDescent="0.25">
      <c r="A334" t="s">
        <v>168</v>
      </c>
      <c r="B334">
        <v>258860</v>
      </c>
      <c r="D334">
        <v>45</v>
      </c>
      <c r="G334">
        <v>98</v>
      </c>
      <c r="H334">
        <v>79</v>
      </c>
      <c r="I334" t="s">
        <v>96</v>
      </c>
      <c r="J334">
        <v>91</v>
      </c>
      <c r="K334">
        <v>433</v>
      </c>
      <c r="L334" t="str">
        <f t="shared" ref="L334:L337" si="49">IF(K334:K1332&lt;=79,"sweet",IF(K334:K1332&lt;=120,"normal",IF(K334:K1332&lt;=250,"high",IF(K334:K1332&lt;=1000,"very high"))))</f>
        <v>very high</v>
      </c>
      <c r="O334" t="s">
        <v>977</v>
      </c>
      <c r="P334" s="7">
        <v>44502</v>
      </c>
      <c r="Q334" s="7">
        <v>44502</v>
      </c>
    </row>
    <row r="335" spans="1:18" x14ac:dyDescent="0.25">
      <c r="A335" t="s">
        <v>132</v>
      </c>
      <c r="B335">
        <v>787854</v>
      </c>
      <c r="D335">
        <v>48</v>
      </c>
      <c r="G335">
        <v>95</v>
      </c>
      <c r="H335">
        <v>90</v>
      </c>
      <c r="I335" t="s">
        <v>62</v>
      </c>
      <c r="J335">
        <v>40</v>
      </c>
      <c r="K335">
        <v>179</v>
      </c>
      <c r="L335" t="str">
        <f t="shared" si="49"/>
        <v>high</v>
      </c>
      <c r="P335" s="7" t="s">
        <v>131</v>
      </c>
      <c r="Q335" s="7" t="s">
        <v>131</v>
      </c>
    </row>
    <row r="336" spans="1:18" x14ac:dyDescent="0.25">
      <c r="A336" t="s">
        <v>117</v>
      </c>
      <c r="B336">
        <v>789511</v>
      </c>
      <c r="D336">
        <v>50</v>
      </c>
      <c r="G336">
        <v>100</v>
      </c>
      <c r="H336">
        <v>87</v>
      </c>
      <c r="I336" t="s">
        <v>96</v>
      </c>
      <c r="J336">
        <v>78</v>
      </c>
      <c r="K336">
        <v>125</v>
      </c>
      <c r="L336" t="str">
        <f t="shared" si="49"/>
        <v>high</v>
      </c>
      <c r="O336" t="s">
        <v>967</v>
      </c>
      <c r="P336" s="7" t="s">
        <v>133</v>
      </c>
      <c r="Q336" s="7" t="s">
        <v>133</v>
      </c>
    </row>
    <row r="337" spans="1:18" x14ac:dyDescent="0.25">
      <c r="A337" t="s">
        <v>134</v>
      </c>
      <c r="B337">
        <v>894554</v>
      </c>
      <c r="D337">
        <v>80</v>
      </c>
      <c r="G337">
        <v>98</v>
      </c>
      <c r="H337">
        <v>96</v>
      </c>
      <c r="I337" t="s">
        <v>6</v>
      </c>
      <c r="J337">
        <v>89</v>
      </c>
      <c r="K337">
        <v>290</v>
      </c>
      <c r="L337" t="str">
        <f t="shared" si="49"/>
        <v>very high</v>
      </c>
      <c r="P337" s="7" t="s">
        <v>133</v>
      </c>
      <c r="Q337" s="7" t="s">
        <v>133</v>
      </c>
    </row>
    <row r="338" spans="1:18" hidden="1" x14ac:dyDescent="0.25">
      <c r="A338" t="s">
        <v>141</v>
      </c>
      <c r="B338">
        <v>789798</v>
      </c>
      <c r="D338">
        <v>65</v>
      </c>
      <c r="G338">
        <v>98</v>
      </c>
      <c r="H338" t="s">
        <v>5</v>
      </c>
      <c r="I338" t="s">
        <v>62</v>
      </c>
      <c r="J338">
        <v>90</v>
      </c>
      <c r="K338" t="s">
        <v>5</v>
      </c>
      <c r="O338" t="s">
        <v>967</v>
      </c>
      <c r="P338" s="7" t="s">
        <v>142</v>
      </c>
      <c r="Q338" s="7" t="s">
        <v>142</v>
      </c>
    </row>
    <row r="339" spans="1:18" x14ac:dyDescent="0.25">
      <c r="A339" t="s">
        <v>143</v>
      </c>
      <c r="B339">
        <v>787454</v>
      </c>
      <c r="D339">
        <v>90</v>
      </c>
      <c r="G339">
        <v>98</v>
      </c>
      <c r="H339">
        <v>79</v>
      </c>
      <c r="I339" t="s">
        <v>40</v>
      </c>
      <c r="J339">
        <v>98</v>
      </c>
      <c r="K339">
        <v>231</v>
      </c>
      <c r="L339" t="str">
        <f>IF(K339:K1337&lt;=79,"sweet",IF(K339:K1337&lt;=120,"normal",IF(K339:K1337&lt;=250,"high",IF(K339:K1337&lt;=1000,"very high"))))</f>
        <v>high</v>
      </c>
      <c r="P339" s="7" t="s">
        <v>142</v>
      </c>
      <c r="Q339" s="7" t="s">
        <v>142</v>
      </c>
    </row>
    <row r="340" spans="1:18" hidden="1" x14ac:dyDescent="0.25">
      <c r="A340" t="s">
        <v>144</v>
      </c>
      <c r="B340">
        <v>454564</v>
      </c>
      <c r="D340">
        <v>50</v>
      </c>
      <c r="G340">
        <v>98</v>
      </c>
      <c r="H340">
        <v>107</v>
      </c>
      <c r="I340" t="s">
        <v>145</v>
      </c>
      <c r="J340">
        <v>99</v>
      </c>
      <c r="K340" t="s">
        <v>5</v>
      </c>
      <c r="P340" s="7" t="s">
        <v>142</v>
      </c>
      <c r="Q340" s="7" t="s">
        <v>142</v>
      </c>
    </row>
    <row r="341" spans="1:18" x14ac:dyDescent="0.25">
      <c r="A341" t="s">
        <v>146</v>
      </c>
      <c r="B341">
        <v>545648</v>
      </c>
      <c r="D341">
        <v>71</v>
      </c>
      <c r="G341">
        <v>98</v>
      </c>
      <c r="H341">
        <v>97</v>
      </c>
      <c r="I341" t="s">
        <v>62</v>
      </c>
      <c r="J341">
        <v>77</v>
      </c>
      <c r="K341">
        <v>170</v>
      </c>
      <c r="L341" t="str">
        <f t="shared" ref="L341:L342" si="50">IF(K341:K1339&lt;=79,"sweet",IF(K341:K1339&lt;=120,"normal",IF(K341:K1339&lt;=250,"high",IF(K341:K1339&lt;=1000,"very high"))))</f>
        <v>high</v>
      </c>
      <c r="O341" t="s">
        <v>968</v>
      </c>
      <c r="P341" s="7" t="s">
        <v>142</v>
      </c>
      <c r="Q341" s="7" t="s">
        <v>147</v>
      </c>
    </row>
    <row r="342" spans="1:18" x14ac:dyDescent="0.25">
      <c r="A342" t="s">
        <v>181</v>
      </c>
      <c r="B342">
        <v>2121321</v>
      </c>
      <c r="D342">
        <v>16</v>
      </c>
      <c r="G342">
        <v>98</v>
      </c>
      <c r="H342">
        <v>150</v>
      </c>
      <c r="I342" t="s">
        <v>182</v>
      </c>
      <c r="J342">
        <v>100</v>
      </c>
      <c r="K342">
        <v>132</v>
      </c>
      <c r="L342" t="str">
        <f t="shared" si="50"/>
        <v>high</v>
      </c>
      <c r="P342" s="7">
        <v>44532</v>
      </c>
      <c r="Q342" s="7" t="s">
        <v>176</v>
      </c>
      <c r="R342" t="s">
        <v>41</v>
      </c>
    </row>
    <row r="343" spans="1:18" hidden="1" x14ac:dyDescent="0.25">
      <c r="A343" t="s">
        <v>155</v>
      </c>
      <c r="B343">
        <v>846121</v>
      </c>
      <c r="D343">
        <v>47</v>
      </c>
      <c r="G343">
        <v>98</v>
      </c>
      <c r="O343" t="s">
        <v>967</v>
      </c>
      <c r="P343" s="7" t="s">
        <v>147</v>
      </c>
      <c r="Q343" s="7" t="s">
        <v>147</v>
      </c>
    </row>
    <row r="344" spans="1:18" hidden="1" x14ac:dyDescent="0.25">
      <c r="A344" t="s">
        <v>169</v>
      </c>
      <c r="B344">
        <v>844566</v>
      </c>
      <c r="D344">
        <v>55</v>
      </c>
      <c r="G344">
        <v>98</v>
      </c>
      <c r="H344">
        <v>92</v>
      </c>
      <c r="I344" t="s">
        <v>79</v>
      </c>
      <c r="O344" t="s">
        <v>967</v>
      </c>
      <c r="P344" s="7">
        <v>44532</v>
      </c>
      <c r="Q344" s="7">
        <v>44532</v>
      </c>
    </row>
    <row r="345" spans="1:18" x14ac:dyDescent="0.25">
      <c r="A345" t="s">
        <v>170</v>
      </c>
      <c r="B345">
        <v>797885</v>
      </c>
      <c r="D345">
        <v>61</v>
      </c>
      <c r="G345">
        <v>98</v>
      </c>
      <c r="H345">
        <v>92</v>
      </c>
      <c r="I345" t="s">
        <v>43</v>
      </c>
      <c r="J345">
        <v>90</v>
      </c>
      <c r="K345">
        <v>180</v>
      </c>
      <c r="L345" t="str">
        <f>IF(K345:K1343&lt;=79,"sweet",IF(K345:K1343&lt;=120,"normal",IF(K345:K1343&lt;=250,"high",IF(K345:K1343&lt;=1000,"very high"))))</f>
        <v>high</v>
      </c>
      <c r="P345" s="7">
        <v>44532</v>
      </c>
      <c r="Q345" s="7">
        <v>44532</v>
      </c>
    </row>
    <row r="346" spans="1:18" hidden="1" x14ac:dyDescent="0.25">
      <c r="A346" t="s">
        <v>186</v>
      </c>
      <c r="B346">
        <v>878788</v>
      </c>
      <c r="D346">
        <v>18</v>
      </c>
      <c r="G346">
        <v>98</v>
      </c>
      <c r="H346">
        <v>70</v>
      </c>
      <c r="J346">
        <v>30</v>
      </c>
      <c r="O346" t="s">
        <v>967</v>
      </c>
      <c r="P346" s="7" t="s">
        <v>176</v>
      </c>
      <c r="Q346" s="7" t="s">
        <v>176</v>
      </c>
    </row>
    <row r="347" spans="1:18" x14ac:dyDescent="0.25">
      <c r="A347" t="s">
        <v>188</v>
      </c>
      <c r="B347">
        <v>345454</v>
      </c>
      <c r="D347">
        <v>50</v>
      </c>
      <c r="G347">
        <v>98</v>
      </c>
      <c r="H347">
        <v>86</v>
      </c>
      <c r="I347" t="s">
        <v>189</v>
      </c>
      <c r="J347">
        <v>96</v>
      </c>
      <c r="K347">
        <v>104</v>
      </c>
      <c r="L347" t="str">
        <f>IF(K347:K1345&lt;=79,"sweet",IF(K347:K1345&lt;=120,"normal",IF(K347:K1345&lt;=250,"high",IF(K347:K1345&lt;=1000,"very high"))))</f>
        <v>normal</v>
      </c>
      <c r="P347" s="7" t="s">
        <v>176</v>
      </c>
      <c r="Q347" s="7" t="s">
        <v>176</v>
      </c>
    </row>
    <row r="348" spans="1:18" hidden="1" x14ac:dyDescent="0.25">
      <c r="A348" t="s">
        <v>190</v>
      </c>
      <c r="B348">
        <v>267984</v>
      </c>
      <c r="D348">
        <v>60</v>
      </c>
      <c r="G348">
        <v>98</v>
      </c>
      <c r="H348">
        <v>0</v>
      </c>
      <c r="I348">
        <v>0</v>
      </c>
      <c r="J348">
        <v>0</v>
      </c>
      <c r="K348">
        <v>34</v>
      </c>
      <c r="P348" s="7" t="s">
        <v>176</v>
      </c>
      <c r="Q348" s="7" t="s">
        <v>176</v>
      </c>
    </row>
    <row r="349" spans="1:18" x14ac:dyDescent="0.25">
      <c r="A349" t="s">
        <v>171</v>
      </c>
      <c r="B349">
        <v>787994</v>
      </c>
      <c r="D349">
        <v>37</v>
      </c>
      <c r="G349">
        <v>98</v>
      </c>
      <c r="H349">
        <v>128</v>
      </c>
      <c r="I349" t="s">
        <v>172</v>
      </c>
      <c r="J349">
        <v>85</v>
      </c>
      <c r="K349">
        <v>119</v>
      </c>
      <c r="L349" t="str">
        <f t="shared" ref="L349:L352" si="51">IF(K349:K1347&lt;=79,"sweet",IF(K349:K1347&lt;=120,"normal",IF(K349:K1347&lt;=250,"high",IF(K349:K1347&lt;=1000,"very high"))))</f>
        <v>normal</v>
      </c>
      <c r="P349" s="7" t="s">
        <v>173</v>
      </c>
      <c r="Q349" s="7" t="s">
        <v>173</v>
      </c>
    </row>
    <row r="350" spans="1:18" x14ac:dyDescent="0.25">
      <c r="A350" t="s">
        <v>198</v>
      </c>
      <c r="B350">
        <v>954987</v>
      </c>
      <c r="D350">
        <v>50</v>
      </c>
      <c r="G350">
        <v>101</v>
      </c>
      <c r="H350">
        <v>120</v>
      </c>
      <c r="I350" t="s">
        <v>96</v>
      </c>
      <c r="J350">
        <v>99</v>
      </c>
      <c r="K350">
        <v>142</v>
      </c>
      <c r="L350" t="str">
        <f t="shared" si="51"/>
        <v>high</v>
      </c>
      <c r="P350" s="7" t="s">
        <v>196</v>
      </c>
      <c r="Q350" s="7" t="s">
        <v>196</v>
      </c>
    </row>
    <row r="351" spans="1:18" x14ac:dyDescent="0.25">
      <c r="A351" t="s">
        <v>199</v>
      </c>
      <c r="B351">
        <v>155445</v>
      </c>
      <c r="D351">
        <v>70</v>
      </c>
      <c r="G351">
        <v>98</v>
      </c>
      <c r="H351">
        <v>92</v>
      </c>
      <c r="I351" t="s">
        <v>194</v>
      </c>
      <c r="J351">
        <v>40</v>
      </c>
      <c r="K351">
        <v>118</v>
      </c>
      <c r="L351" t="str">
        <f t="shared" si="51"/>
        <v>normal</v>
      </c>
      <c r="P351" s="7" t="s">
        <v>196</v>
      </c>
      <c r="Q351" s="7" t="s">
        <v>196</v>
      </c>
    </row>
    <row r="352" spans="1:18" x14ac:dyDescent="0.25">
      <c r="A352" t="s">
        <v>200</v>
      </c>
      <c r="B352">
        <v>122154</v>
      </c>
      <c r="D352">
        <v>16</v>
      </c>
      <c r="G352">
        <v>98</v>
      </c>
      <c r="H352">
        <v>75</v>
      </c>
      <c r="I352" t="s">
        <v>79</v>
      </c>
      <c r="J352">
        <v>78</v>
      </c>
      <c r="K352">
        <v>114</v>
      </c>
      <c r="L352" t="str">
        <f t="shared" si="51"/>
        <v>normal</v>
      </c>
      <c r="P352" s="7" t="s">
        <v>196</v>
      </c>
      <c r="Q352" s="7" t="s">
        <v>196</v>
      </c>
    </row>
    <row r="353" spans="1:18" hidden="1" x14ac:dyDescent="0.25">
      <c r="A353" t="s">
        <v>201</v>
      </c>
      <c r="B353">
        <v>887861</v>
      </c>
      <c r="D353">
        <v>50</v>
      </c>
      <c r="G353">
        <v>98</v>
      </c>
      <c r="J353">
        <v>89</v>
      </c>
      <c r="O353" t="s">
        <v>967</v>
      </c>
      <c r="P353" s="7" t="s">
        <v>196</v>
      </c>
      <c r="Q353" s="7" t="s">
        <v>196</v>
      </c>
    </row>
    <row r="354" spans="1:18" x14ac:dyDescent="0.25">
      <c r="A354" t="s">
        <v>151</v>
      </c>
      <c r="B354">
        <v>547545</v>
      </c>
      <c r="D354">
        <v>50</v>
      </c>
      <c r="G354">
        <v>98</v>
      </c>
      <c r="H354">
        <v>78</v>
      </c>
      <c r="I354" t="s">
        <v>6</v>
      </c>
      <c r="J354">
        <v>90</v>
      </c>
      <c r="K354">
        <v>357</v>
      </c>
      <c r="L354" t="str">
        <f t="shared" ref="L354:L355" si="52">IF(K354:K1352&lt;=79,"sweet",IF(K354:K1352&lt;=120,"normal",IF(K354:K1352&lt;=250,"high",IF(K354:K1352&lt;=1000,"very high"))))</f>
        <v>very high</v>
      </c>
      <c r="P354" s="7" t="s">
        <v>147</v>
      </c>
      <c r="Q354" s="7" t="s">
        <v>147</v>
      </c>
      <c r="R354" t="s">
        <v>41</v>
      </c>
    </row>
    <row r="355" spans="1:18" x14ac:dyDescent="0.25">
      <c r="A355" t="s">
        <v>99</v>
      </c>
      <c r="B355">
        <v>654646</v>
      </c>
      <c r="D355">
        <v>35</v>
      </c>
      <c r="G355">
        <v>98</v>
      </c>
      <c r="H355">
        <v>92</v>
      </c>
      <c r="I355" t="s">
        <v>152</v>
      </c>
      <c r="J355">
        <v>98</v>
      </c>
      <c r="K355">
        <v>96</v>
      </c>
      <c r="L355" t="str">
        <f t="shared" si="52"/>
        <v>normal</v>
      </c>
      <c r="P355" s="7" t="s">
        <v>142</v>
      </c>
      <c r="Q355" s="7" t="s">
        <v>147</v>
      </c>
    </row>
    <row r="356" spans="1:18" hidden="1" x14ac:dyDescent="0.25">
      <c r="A356" t="s">
        <v>153</v>
      </c>
      <c r="B356">
        <v>797888</v>
      </c>
      <c r="D356">
        <v>76</v>
      </c>
      <c r="G356">
        <v>98</v>
      </c>
      <c r="H356">
        <v>102</v>
      </c>
      <c r="I356" s="3" t="s">
        <v>154</v>
      </c>
      <c r="P356" s="7" t="s">
        <v>142</v>
      </c>
      <c r="Q356" s="7" t="s">
        <v>147</v>
      </c>
    </row>
    <row r="357" spans="1:18" hidden="1" x14ac:dyDescent="0.25">
      <c r="A357" t="s">
        <v>426</v>
      </c>
      <c r="B357">
        <v>9037918</v>
      </c>
      <c r="D357">
        <v>60</v>
      </c>
      <c r="G357">
        <v>98</v>
      </c>
      <c r="H357">
        <v>511</v>
      </c>
      <c r="I357" t="s">
        <v>0</v>
      </c>
      <c r="K357">
        <v>55</v>
      </c>
      <c r="N357" t="s">
        <v>976</v>
      </c>
      <c r="P357" s="7" t="s">
        <v>427</v>
      </c>
      <c r="Q357" s="7" t="s">
        <v>428</v>
      </c>
    </row>
    <row r="358" spans="1:18" x14ac:dyDescent="0.25">
      <c r="A358" t="s">
        <v>429</v>
      </c>
      <c r="B358">
        <v>9064171</v>
      </c>
      <c r="D358">
        <v>29</v>
      </c>
      <c r="G358">
        <v>100</v>
      </c>
      <c r="H358">
        <v>114</v>
      </c>
      <c r="I358" t="s">
        <v>43</v>
      </c>
      <c r="J358">
        <v>90</v>
      </c>
      <c r="K358">
        <v>94</v>
      </c>
      <c r="L358" t="str">
        <f>IF(K358:K1356&lt;=79,"sweet",IF(K358:K1356&lt;=120,"normal",IF(K358:K1356&lt;=250,"high",IF(K358:K1356&lt;=1000,"very high"))))</f>
        <v>normal</v>
      </c>
      <c r="O358" t="s">
        <v>968</v>
      </c>
      <c r="P358" s="7" t="s">
        <v>142</v>
      </c>
      <c r="Q358" s="7" t="s">
        <v>147</v>
      </c>
    </row>
    <row r="359" spans="1:18" hidden="1" x14ac:dyDescent="0.25">
      <c r="A359" t="s">
        <v>420</v>
      </c>
      <c r="B359">
        <v>4564874</v>
      </c>
      <c r="D359">
        <v>70</v>
      </c>
      <c r="G359">
        <v>98</v>
      </c>
      <c r="H359">
        <v>82</v>
      </c>
      <c r="I359" t="s">
        <v>94</v>
      </c>
      <c r="P359" s="7" t="s">
        <v>427</v>
      </c>
      <c r="Q359" s="7" t="s">
        <v>428</v>
      </c>
    </row>
    <row r="360" spans="1:18" x14ac:dyDescent="0.25">
      <c r="A360" t="s">
        <v>421</v>
      </c>
      <c r="B360">
        <v>45452117</v>
      </c>
      <c r="D360">
        <v>55</v>
      </c>
      <c r="G360">
        <v>98</v>
      </c>
      <c r="H360">
        <v>60</v>
      </c>
      <c r="I360" t="s">
        <v>154</v>
      </c>
      <c r="J360">
        <v>82</v>
      </c>
      <c r="K360">
        <v>123</v>
      </c>
      <c r="L360" t="str">
        <f t="shared" ref="L360:L362" si="53">IF(K360:K1358&lt;=79,"sweet",IF(K360:K1358&lt;=120,"normal",IF(K360:K1358&lt;=250,"high",IF(K360:K1358&lt;=1000,"very high"))))</f>
        <v>high</v>
      </c>
      <c r="P360" s="7" t="s">
        <v>427</v>
      </c>
      <c r="Q360" s="7" t="s">
        <v>428</v>
      </c>
    </row>
    <row r="361" spans="1:18" x14ac:dyDescent="0.25">
      <c r="A361" t="s">
        <v>423</v>
      </c>
      <c r="B361">
        <v>89854545</v>
      </c>
      <c r="D361">
        <v>60</v>
      </c>
      <c r="G361">
        <v>98</v>
      </c>
      <c r="H361">
        <v>80</v>
      </c>
      <c r="I361" t="s">
        <v>62</v>
      </c>
      <c r="J361">
        <v>98</v>
      </c>
      <c r="K361">
        <v>222</v>
      </c>
      <c r="L361" t="str">
        <f t="shared" si="53"/>
        <v>high</v>
      </c>
      <c r="P361" s="7" t="s">
        <v>246</v>
      </c>
      <c r="Q361" s="7" t="s">
        <v>246</v>
      </c>
    </row>
    <row r="362" spans="1:18" x14ac:dyDescent="0.25">
      <c r="A362" t="s">
        <v>424</v>
      </c>
      <c r="B362">
        <v>44545441</v>
      </c>
      <c r="D362">
        <v>70</v>
      </c>
      <c r="G362">
        <v>98</v>
      </c>
      <c r="H362">
        <v>65</v>
      </c>
      <c r="I362" t="s">
        <v>430</v>
      </c>
      <c r="J362">
        <v>98</v>
      </c>
      <c r="K362">
        <v>444</v>
      </c>
      <c r="L362" t="str">
        <f t="shared" si="53"/>
        <v>very high</v>
      </c>
      <c r="P362" s="7" t="s">
        <v>422</v>
      </c>
      <c r="Q362" s="7" t="s">
        <v>422</v>
      </c>
      <c r="R362" t="s">
        <v>41</v>
      </c>
    </row>
    <row r="363" spans="1:18" hidden="1" x14ac:dyDescent="0.25">
      <c r="A363" t="s">
        <v>431</v>
      </c>
      <c r="B363">
        <v>9071813</v>
      </c>
      <c r="D363">
        <v>32</v>
      </c>
      <c r="G363">
        <v>98</v>
      </c>
      <c r="H363">
        <v>130</v>
      </c>
      <c r="I363" t="s">
        <v>47</v>
      </c>
      <c r="J363">
        <v>85</v>
      </c>
      <c r="P363" s="7" t="s">
        <v>428</v>
      </c>
      <c r="Q363" s="7" t="s">
        <v>428</v>
      </c>
    </row>
    <row r="364" spans="1:18" x14ac:dyDescent="0.25">
      <c r="A364" t="s">
        <v>432</v>
      </c>
      <c r="B364">
        <v>908757</v>
      </c>
      <c r="D364">
        <v>50</v>
      </c>
      <c r="G364">
        <v>98</v>
      </c>
      <c r="H364">
        <v>85</v>
      </c>
      <c r="I364" t="s">
        <v>92</v>
      </c>
      <c r="J364">
        <v>75</v>
      </c>
      <c r="K364">
        <v>181</v>
      </c>
      <c r="L364" t="str">
        <f>IF(K364:K1362&lt;=79,"sweet",IF(K364:K1362&lt;=120,"normal",IF(K364:K1362&lt;=250,"high",IF(K364:K1362&lt;=1000,"very high"))))</f>
        <v>high</v>
      </c>
      <c r="P364" s="7" t="s">
        <v>428</v>
      </c>
      <c r="Q364" s="7" t="s">
        <v>428</v>
      </c>
    </row>
    <row r="365" spans="1:18" hidden="1" x14ac:dyDescent="0.25">
      <c r="A365" t="s">
        <v>433</v>
      </c>
      <c r="B365">
        <v>6875163</v>
      </c>
      <c r="D365">
        <v>30</v>
      </c>
      <c r="G365">
        <v>98</v>
      </c>
      <c r="H365">
        <v>110</v>
      </c>
      <c r="I365" t="s">
        <v>434</v>
      </c>
      <c r="J365">
        <v>67</v>
      </c>
      <c r="P365" s="7" t="s">
        <v>428</v>
      </c>
      <c r="Q365" s="7" t="s">
        <v>428</v>
      </c>
    </row>
    <row r="366" spans="1:18" x14ac:dyDescent="0.25">
      <c r="A366" t="s">
        <v>435</v>
      </c>
      <c r="B366">
        <v>9079564</v>
      </c>
      <c r="D366">
        <v>37</v>
      </c>
      <c r="G366">
        <v>98</v>
      </c>
      <c r="H366">
        <v>100</v>
      </c>
      <c r="I366" t="s">
        <v>154</v>
      </c>
      <c r="J366">
        <v>88</v>
      </c>
      <c r="K366">
        <v>121</v>
      </c>
      <c r="L366" t="str">
        <f t="shared" ref="L366:L367" si="54">IF(K366:K1364&lt;=79,"sweet",IF(K366:K1364&lt;=120,"normal",IF(K366:K1364&lt;=250,"high",IF(K366:K1364&lt;=1000,"very high"))))</f>
        <v>high</v>
      </c>
      <c r="P366" s="7" t="s">
        <v>428</v>
      </c>
      <c r="Q366" s="7" t="s">
        <v>428</v>
      </c>
    </row>
    <row r="367" spans="1:18" x14ac:dyDescent="0.25">
      <c r="A367" t="s">
        <v>436</v>
      </c>
      <c r="B367">
        <v>88039971</v>
      </c>
      <c r="D367">
        <v>22</v>
      </c>
      <c r="G367">
        <v>99</v>
      </c>
      <c r="H367">
        <v>120</v>
      </c>
      <c r="I367" t="s">
        <v>437</v>
      </c>
      <c r="J367">
        <v>94</v>
      </c>
      <c r="K367">
        <v>176</v>
      </c>
      <c r="L367" t="str">
        <f t="shared" si="54"/>
        <v>high</v>
      </c>
      <c r="P367" s="7">
        <v>44348</v>
      </c>
      <c r="Q367" s="7" t="s">
        <v>428</v>
      </c>
    </row>
    <row r="368" spans="1:18" hidden="1" x14ac:dyDescent="0.25">
      <c r="A368" t="s">
        <v>438</v>
      </c>
      <c r="B368">
        <v>861321</v>
      </c>
      <c r="D368">
        <v>60</v>
      </c>
      <c r="G368">
        <v>98</v>
      </c>
      <c r="H368">
        <v>110</v>
      </c>
      <c r="I368" t="s">
        <v>439</v>
      </c>
      <c r="J368">
        <v>91</v>
      </c>
      <c r="P368" s="7" t="s">
        <v>440</v>
      </c>
      <c r="Q368" s="7" t="s">
        <v>441</v>
      </c>
    </row>
    <row r="369" spans="1:18" x14ac:dyDescent="0.25">
      <c r="A369" t="s">
        <v>442</v>
      </c>
      <c r="B369">
        <v>91227850</v>
      </c>
      <c r="D369">
        <v>15</v>
      </c>
      <c r="G369">
        <v>98</v>
      </c>
      <c r="H369">
        <v>90</v>
      </c>
      <c r="I369" t="s">
        <v>62</v>
      </c>
      <c r="J369">
        <v>92</v>
      </c>
      <c r="K369">
        <v>136</v>
      </c>
      <c r="L369" t="str">
        <f>IF(K369:K1367&lt;=79,"sweet",IF(K369:K1367&lt;=120,"normal",IF(K369:K1367&lt;=250,"high",IF(K369:K1367&lt;=1000,"very high"))))</f>
        <v>high</v>
      </c>
      <c r="O369" t="s">
        <v>967</v>
      </c>
      <c r="P369" s="7" t="s">
        <v>441</v>
      </c>
      <c r="Q369" s="7" t="s">
        <v>441</v>
      </c>
    </row>
    <row r="370" spans="1:18" hidden="1" x14ac:dyDescent="0.25">
      <c r="A370" t="s">
        <v>443</v>
      </c>
      <c r="B370">
        <v>9110163</v>
      </c>
      <c r="D370">
        <v>55</v>
      </c>
      <c r="G370">
        <v>99</v>
      </c>
      <c r="H370">
        <v>40</v>
      </c>
      <c r="I370" t="s">
        <v>444</v>
      </c>
      <c r="K370">
        <v>35</v>
      </c>
      <c r="N370" t="s">
        <v>975</v>
      </c>
      <c r="O370" t="s">
        <v>967</v>
      </c>
      <c r="P370" s="7" t="s">
        <v>441</v>
      </c>
      <c r="Q370" s="7" t="s">
        <v>445</v>
      </c>
    </row>
    <row r="371" spans="1:18" hidden="1" x14ac:dyDescent="0.25">
      <c r="A371" t="s">
        <v>48</v>
      </c>
      <c r="B371">
        <v>9125491</v>
      </c>
      <c r="D371">
        <v>30</v>
      </c>
      <c r="G371">
        <v>103</v>
      </c>
      <c r="H371">
        <v>90</v>
      </c>
      <c r="I371" t="s">
        <v>446</v>
      </c>
      <c r="P371" s="7" t="s">
        <v>445</v>
      </c>
      <c r="Q371" s="7" t="s">
        <v>445</v>
      </c>
    </row>
    <row r="372" spans="1:18" hidden="1" x14ac:dyDescent="0.25">
      <c r="A372" t="s">
        <v>447</v>
      </c>
      <c r="B372">
        <v>9122856</v>
      </c>
      <c r="D372">
        <v>86</v>
      </c>
      <c r="G372">
        <v>98</v>
      </c>
      <c r="H372">
        <v>105</v>
      </c>
      <c r="I372" t="s">
        <v>79</v>
      </c>
      <c r="J372">
        <v>61</v>
      </c>
      <c r="P372" s="7" t="s">
        <v>441</v>
      </c>
      <c r="Q372" s="7" t="s">
        <v>445</v>
      </c>
    </row>
    <row r="373" spans="1:18" hidden="1" x14ac:dyDescent="0.25">
      <c r="A373" t="s">
        <v>448</v>
      </c>
      <c r="B373">
        <v>9100011</v>
      </c>
      <c r="D373">
        <v>19</v>
      </c>
      <c r="G373">
        <v>98</v>
      </c>
      <c r="P373" s="7" t="s">
        <v>445</v>
      </c>
      <c r="Q373" s="7" t="s">
        <v>445</v>
      </c>
    </row>
    <row r="374" spans="1:18" x14ac:dyDescent="0.25">
      <c r="A374" t="s">
        <v>270</v>
      </c>
      <c r="B374">
        <v>9129068</v>
      </c>
      <c r="D374">
        <v>40</v>
      </c>
      <c r="G374">
        <v>100</v>
      </c>
      <c r="H374">
        <v>55</v>
      </c>
      <c r="I374" t="s">
        <v>43</v>
      </c>
      <c r="J374">
        <v>58</v>
      </c>
      <c r="K374">
        <v>92</v>
      </c>
      <c r="L374" t="str">
        <f t="shared" ref="L374:L375" si="55">IF(K374:K1372&lt;=79,"sweet",IF(K374:K1372&lt;=120,"normal",IF(K374:K1372&lt;=250,"high",IF(K374:K1372&lt;=1000,"very high"))))</f>
        <v>normal</v>
      </c>
      <c r="P374" s="7" t="s">
        <v>445</v>
      </c>
      <c r="Q374" s="7" t="s">
        <v>445</v>
      </c>
    </row>
    <row r="375" spans="1:18" x14ac:dyDescent="0.25">
      <c r="A375" t="s">
        <v>449</v>
      </c>
      <c r="B375">
        <v>254326</v>
      </c>
      <c r="D375">
        <v>60</v>
      </c>
      <c r="G375">
        <v>98</v>
      </c>
      <c r="H375">
        <v>88</v>
      </c>
      <c r="I375" t="s">
        <v>62</v>
      </c>
      <c r="J375">
        <v>95</v>
      </c>
      <c r="K375">
        <v>121</v>
      </c>
      <c r="L375" t="str">
        <f t="shared" si="55"/>
        <v>high</v>
      </c>
      <c r="O375" t="s">
        <v>977</v>
      </c>
      <c r="P375" s="7" t="s">
        <v>445</v>
      </c>
      <c r="Q375" s="7" t="s">
        <v>445</v>
      </c>
    </row>
    <row r="376" spans="1:18" hidden="1" x14ac:dyDescent="0.25">
      <c r="A376" t="s">
        <v>450</v>
      </c>
      <c r="B376">
        <v>60894</v>
      </c>
      <c r="D376">
        <v>55</v>
      </c>
      <c r="G376">
        <v>98</v>
      </c>
      <c r="H376" t="s">
        <v>5</v>
      </c>
      <c r="I376" t="s">
        <v>5</v>
      </c>
      <c r="J376" t="s">
        <v>5</v>
      </c>
      <c r="K376" t="s">
        <v>5</v>
      </c>
      <c r="P376" s="7" t="s">
        <v>451</v>
      </c>
      <c r="Q376" s="7" t="s">
        <v>451</v>
      </c>
    </row>
    <row r="377" spans="1:18" x14ac:dyDescent="0.25">
      <c r="A377" t="s">
        <v>452</v>
      </c>
      <c r="B377">
        <v>9134214</v>
      </c>
      <c r="D377">
        <v>50</v>
      </c>
      <c r="G377">
        <v>98</v>
      </c>
      <c r="H377">
        <v>80</v>
      </c>
      <c r="I377" t="s">
        <v>154</v>
      </c>
      <c r="J377">
        <v>84</v>
      </c>
      <c r="K377">
        <v>568</v>
      </c>
      <c r="L377" t="str">
        <f>IF(K377:K1375&lt;=79,"sweet",IF(K377:K1375&lt;=120,"normal",IF(K377:K1375&lt;=250,"high",IF(K377:K1375&lt;=1000,"very high"))))</f>
        <v>very high</v>
      </c>
      <c r="N377" t="s">
        <v>974</v>
      </c>
      <c r="O377" t="s">
        <v>967</v>
      </c>
      <c r="P377" s="7" t="s">
        <v>451</v>
      </c>
      <c r="Q377" s="7" t="s">
        <v>451</v>
      </c>
      <c r="R377" t="s">
        <v>41</v>
      </c>
    </row>
    <row r="378" spans="1:18" hidden="1" x14ac:dyDescent="0.25">
      <c r="A378" t="s">
        <v>453</v>
      </c>
      <c r="B378">
        <v>8542</v>
      </c>
      <c r="D378">
        <v>60</v>
      </c>
      <c r="G378">
        <v>98</v>
      </c>
      <c r="P378" s="7" t="s">
        <v>451</v>
      </c>
      <c r="Q378" s="7" t="s">
        <v>451</v>
      </c>
    </row>
    <row r="379" spans="1:18" x14ac:dyDescent="0.25">
      <c r="A379" t="s">
        <v>454</v>
      </c>
      <c r="B379">
        <v>9131982</v>
      </c>
      <c r="D379">
        <v>60</v>
      </c>
      <c r="G379">
        <v>98</v>
      </c>
      <c r="H379">
        <v>100</v>
      </c>
      <c r="I379" t="s">
        <v>455</v>
      </c>
      <c r="J379">
        <v>98</v>
      </c>
      <c r="K379">
        <v>350</v>
      </c>
      <c r="L379" t="str">
        <f>IF(K379:K1377&lt;=79,"sweet",IF(K379:K1377&lt;=120,"normal",IF(K379:K1377&lt;=250,"high",IF(K379:K1377&lt;=1000,"very high"))))</f>
        <v>very high</v>
      </c>
      <c r="O379" t="s">
        <v>967</v>
      </c>
      <c r="P379" s="7" t="s">
        <v>445</v>
      </c>
      <c r="Q379" s="7" t="s">
        <v>451</v>
      </c>
    </row>
    <row r="380" spans="1:18" hidden="1" x14ac:dyDescent="0.25">
      <c r="A380" t="s">
        <v>456</v>
      </c>
      <c r="B380">
        <v>8086688</v>
      </c>
      <c r="D380">
        <v>60</v>
      </c>
      <c r="G380">
        <v>98</v>
      </c>
      <c r="H380">
        <v>110</v>
      </c>
      <c r="I380" t="s">
        <v>457</v>
      </c>
      <c r="J380">
        <v>90</v>
      </c>
      <c r="P380" s="7" t="s">
        <v>428</v>
      </c>
      <c r="Q380" s="7" t="s">
        <v>451</v>
      </c>
    </row>
    <row r="381" spans="1:18" x14ac:dyDescent="0.25">
      <c r="A381" t="s">
        <v>458</v>
      </c>
      <c r="B381">
        <v>908721</v>
      </c>
      <c r="D381">
        <v>36</v>
      </c>
      <c r="G381">
        <v>98</v>
      </c>
      <c r="H381">
        <v>110</v>
      </c>
      <c r="I381" t="s">
        <v>96</v>
      </c>
      <c r="J381">
        <v>96</v>
      </c>
      <c r="K381">
        <v>112</v>
      </c>
      <c r="L381" t="str">
        <f>IF(K381:K1379&lt;=79,"sweet",IF(K381:K1379&lt;=120,"normal",IF(K381:K1379&lt;=250,"high",IF(K381:K1379&lt;=1000,"very high"))))</f>
        <v>normal</v>
      </c>
      <c r="P381" s="7" t="s">
        <v>428</v>
      </c>
      <c r="Q381" s="7" t="s">
        <v>451</v>
      </c>
    </row>
    <row r="382" spans="1:18" hidden="1" x14ac:dyDescent="0.25">
      <c r="A382" t="s">
        <v>222</v>
      </c>
      <c r="B382">
        <v>9187912</v>
      </c>
      <c r="D382">
        <v>68</v>
      </c>
      <c r="G382">
        <v>98</v>
      </c>
      <c r="H382">
        <v>90</v>
      </c>
      <c r="I382" t="s">
        <v>459</v>
      </c>
      <c r="J382">
        <v>50</v>
      </c>
      <c r="O382" t="s">
        <v>968</v>
      </c>
      <c r="P382" s="7" t="s">
        <v>460</v>
      </c>
      <c r="Q382" s="7" t="s">
        <v>460</v>
      </c>
    </row>
    <row r="383" spans="1:18" x14ac:dyDescent="0.25">
      <c r="A383" t="s">
        <v>461</v>
      </c>
      <c r="B383">
        <v>9201722</v>
      </c>
      <c r="D383">
        <v>26</v>
      </c>
      <c r="G383">
        <v>98</v>
      </c>
      <c r="H383">
        <v>62</v>
      </c>
      <c r="I383" t="s">
        <v>62</v>
      </c>
      <c r="J383">
        <v>88</v>
      </c>
      <c r="K383">
        <v>424</v>
      </c>
      <c r="L383" t="str">
        <f>IF(K383:K1381&lt;=79,"sweet",IF(K383:K1381&lt;=120,"normal",IF(K383:K1381&lt;=250,"high",IF(K383:K1381&lt;=1000,"very high"))))</f>
        <v>very high</v>
      </c>
      <c r="P383" s="7" t="s">
        <v>460</v>
      </c>
      <c r="Q383" s="7" t="s">
        <v>460</v>
      </c>
    </row>
    <row r="384" spans="1:18" hidden="1" x14ac:dyDescent="0.25">
      <c r="A384" t="s">
        <v>462</v>
      </c>
      <c r="B384">
        <v>9208732</v>
      </c>
      <c r="D384">
        <v>60</v>
      </c>
      <c r="G384">
        <v>98</v>
      </c>
      <c r="H384">
        <v>79</v>
      </c>
      <c r="I384" t="s">
        <v>94</v>
      </c>
      <c r="J384">
        <v>94</v>
      </c>
      <c r="O384" t="s">
        <v>967</v>
      </c>
      <c r="P384" s="7" t="s">
        <v>460</v>
      </c>
      <c r="Q384" s="7" t="s">
        <v>460</v>
      </c>
    </row>
    <row r="385" spans="1:17" hidden="1" x14ac:dyDescent="0.25">
      <c r="A385" t="s">
        <v>463</v>
      </c>
      <c r="B385">
        <v>9208729</v>
      </c>
      <c r="D385">
        <v>50</v>
      </c>
      <c r="G385">
        <v>98</v>
      </c>
      <c r="H385">
        <v>90</v>
      </c>
      <c r="I385" t="s">
        <v>62</v>
      </c>
      <c r="J385">
        <v>92</v>
      </c>
      <c r="K385">
        <v>72</v>
      </c>
      <c r="O385" t="s">
        <v>967</v>
      </c>
      <c r="P385" s="7" t="s">
        <v>460</v>
      </c>
      <c r="Q385" s="7" t="s">
        <v>464</v>
      </c>
    </row>
    <row r="386" spans="1:17" hidden="1" x14ac:dyDescent="0.25">
      <c r="A386" t="s">
        <v>465</v>
      </c>
      <c r="B386">
        <v>3422</v>
      </c>
      <c r="D386">
        <v>85</v>
      </c>
      <c r="G386">
        <v>98</v>
      </c>
      <c r="H386">
        <v>96</v>
      </c>
      <c r="I386" t="s">
        <v>120</v>
      </c>
      <c r="J386">
        <v>58</v>
      </c>
      <c r="K386">
        <v>33</v>
      </c>
      <c r="P386" s="7" t="s">
        <v>460</v>
      </c>
      <c r="Q386" s="7" t="s">
        <v>464</v>
      </c>
    </row>
    <row r="387" spans="1:17" x14ac:dyDescent="0.25">
      <c r="A387" t="s">
        <v>466</v>
      </c>
      <c r="B387">
        <v>9205896</v>
      </c>
      <c r="D387">
        <v>20</v>
      </c>
      <c r="G387">
        <v>98</v>
      </c>
      <c r="H387">
        <v>96</v>
      </c>
      <c r="I387" t="s">
        <v>154</v>
      </c>
      <c r="J387">
        <v>95</v>
      </c>
      <c r="K387">
        <v>241</v>
      </c>
      <c r="L387" t="str">
        <f t="shared" ref="L387:L391" si="56">IF(K387:K1385&lt;=79,"sweet",IF(K387:K1385&lt;=120,"normal",IF(K387:K1385&lt;=250,"high",IF(K387:K1385&lt;=1000,"very high"))))</f>
        <v>high</v>
      </c>
      <c r="O387" t="s">
        <v>967</v>
      </c>
      <c r="P387" s="7" t="s">
        <v>460</v>
      </c>
      <c r="Q387" s="7" t="s">
        <v>464</v>
      </c>
    </row>
    <row r="388" spans="1:17" x14ac:dyDescent="0.25">
      <c r="A388" t="s">
        <v>467</v>
      </c>
      <c r="B388">
        <v>9209269</v>
      </c>
      <c r="D388">
        <v>55</v>
      </c>
      <c r="G388">
        <v>98</v>
      </c>
      <c r="H388">
        <v>85</v>
      </c>
      <c r="I388" t="s">
        <v>53</v>
      </c>
      <c r="J388">
        <v>84</v>
      </c>
      <c r="K388">
        <v>354</v>
      </c>
      <c r="L388" t="str">
        <f t="shared" si="56"/>
        <v>very high</v>
      </c>
      <c r="P388" s="7" t="s">
        <v>460</v>
      </c>
      <c r="Q388" s="7" t="s">
        <v>383</v>
      </c>
    </row>
    <row r="389" spans="1:17" x14ac:dyDescent="0.25">
      <c r="A389" t="s">
        <v>468</v>
      </c>
      <c r="B389">
        <v>9191331</v>
      </c>
      <c r="D389">
        <v>90</v>
      </c>
      <c r="G389">
        <v>98</v>
      </c>
      <c r="H389">
        <v>86</v>
      </c>
      <c r="I389" t="s">
        <v>53</v>
      </c>
      <c r="J389">
        <v>98</v>
      </c>
      <c r="K389">
        <v>143</v>
      </c>
      <c r="L389" t="str">
        <f t="shared" si="56"/>
        <v>high</v>
      </c>
      <c r="M389" t="s">
        <v>36</v>
      </c>
      <c r="P389" s="7" t="s">
        <v>464</v>
      </c>
      <c r="Q389" s="7" t="s">
        <v>383</v>
      </c>
    </row>
    <row r="390" spans="1:17" x14ac:dyDescent="0.25">
      <c r="A390" t="s">
        <v>143</v>
      </c>
      <c r="B390">
        <v>89111944</v>
      </c>
      <c r="D390">
        <v>65</v>
      </c>
      <c r="G390">
        <v>98</v>
      </c>
      <c r="H390">
        <v>80</v>
      </c>
      <c r="I390" t="s">
        <v>469</v>
      </c>
      <c r="J390">
        <v>98</v>
      </c>
      <c r="K390">
        <v>95</v>
      </c>
      <c r="L390" t="str">
        <f t="shared" si="56"/>
        <v>normal</v>
      </c>
      <c r="P390" s="7">
        <v>44470</v>
      </c>
      <c r="Q390" s="7" t="s">
        <v>427</v>
      </c>
    </row>
    <row r="391" spans="1:17" x14ac:dyDescent="0.25">
      <c r="A391" t="s">
        <v>470</v>
      </c>
      <c r="B391">
        <v>41165731</v>
      </c>
      <c r="D391">
        <v>80</v>
      </c>
      <c r="G391">
        <v>98</v>
      </c>
      <c r="H391">
        <v>86</v>
      </c>
      <c r="I391" t="s">
        <v>154</v>
      </c>
      <c r="J391">
        <v>98</v>
      </c>
      <c r="K391">
        <v>415</v>
      </c>
      <c r="L391" t="str">
        <f t="shared" si="56"/>
        <v>very high</v>
      </c>
      <c r="P391" s="7" t="s">
        <v>427</v>
      </c>
      <c r="Q391" s="7" t="s">
        <v>427</v>
      </c>
    </row>
    <row r="392" spans="1:17" hidden="1" x14ac:dyDescent="0.25">
      <c r="A392" t="s">
        <v>471</v>
      </c>
      <c r="B392">
        <v>9204664</v>
      </c>
      <c r="D392">
        <v>40</v>
      </c>
      <c r="G392">
        <v>98</v>
      </c>
      <c r="H392">
        <v>88</v>
      </c>
      <c r="I392" t="s">
        <v>304</v>
      </c>
      <c r="P392" s="7" t="s">
        <v>460</v>
      </c>
      <c r="Q392" s="7" t="s">
        <v>460</v>
      </c>
    </row>
    <row r="393" spans="1:17" x14ac:dyDescent="0.25">
      <c r="A393" t="s">
        <v>472</v>
      </c>
      <c r="B393">
        <v>9168365</v>
      </c>
      <c r="D393">
        <v>30</v>
      </c>
      <c r="G393">
        <v>98</v>
      </c>
      <c r="H393">
        <v>162</v>
      </c>
      <c r="I393" t="s">
        <v>473</v>
      </c>
      <c r="J393">
        <v>98</v>
      </c>
      <c r="K393">
        <v>216</v>
      </c>
      <c r="L393" t="str">
        <f t="shared" ref="L393:L394" si="57">IF(K393:K1391&lt;=79,"sweet",IF(K393:K1391&lt;=120,"normal",IF(K393:K1391&lt;=250,"high",IF(K393:K1391&lt;=1000,"very high"))))</f>
        <v>high</v>
      </c>
      <c r="P393" s="7" t="s">
        <v>460</v>
      </c>
      <c r="Q393" s="7" t="s">
        <v>460</v>
      </c>
    </row>
    <row r="394" spans="1:17" x14ac:dyDescent="0.25">
      <c r="A394" t="s">
        <v>474</v>
      </c>
      <c r="B394">
        <v>91726091</v>
      </c>
      <c r="D394">
        <v>45</v>
      </c>
      <c r="G394">
        <v>98</v>
      </c>
      <c r="H394">
        <v>81</v>
      </c>
      <c r="I394" t="s">
        <v>47</v>
      </c>
      <c r="J394">
        <v>92</v>
      </c>
      <c r="K394">
        <v>115</v>
      </c>
      <c r="L394" t="str">
        <f t="shared" si="57"/>
        <v>normal</v>
      </c>
      <c r="P394" s="7" t="s">
        <v>451</v>
      </c>
      <c r="Q394" s="7" t="s">
        <v>464</v>
      </c>
    </row>
    <row r="395" spans="1:17" hidden="1" x14ac:dyDescent="0.25">
      <c r="A395" t="s">
        <v>468</v>
      </c>
      <c r="B395">
        <v>9241687</v>
      </c>
      <c r="D395">
        <v>60</v>
      </c>
      <c r="G395">
        <v>98</v>
      </c>
      <c r="P395" s="7" t="s">
        <v>464</v>
      </c>
      <c r="Q395" s="7" t="s">
        <v>464</v>
      </c>
    </row>
    <row r="396" spans="1:17" hidden="1" x14ac:dyDescent="0.25">
      <c r="A396" t="s">
        <v>475</v>
      </c>
      <c r="B396">
        <v>8227727</v>
      </c>
      <c r="D396">
        <v>35</v>
      </c>
      <c r="G396">
        <v>98</v>
      </c>
      <c r="H396">
        <v>92</v>
      </c>
      <c r="I396" t="s">
        <v>304</v>
      </c>
      <c r="J396">
        <v>98</v>
      </c>
      <c r="K396">
        <v>75</v>
      </c>
      <c r="P396" s="7" t="s">
        <v>464</v>
      </c>
      <c r="Q396" s="7" t="s">
        <v>464</v>
      </c>
    </row>
    <row r="397" spans="1:17" x14ac:dyDescent="0.25">
      <c r="A397" t="s">
        <v>338</v>
      </c>
      <c r="B397">
        <v>9234228</v>
      </c>
      <c r="D397">
        <v>23</v>
      </c>
      <c r="G397">
        <v>98</v>
      </c>
      <c r="H397">
        <v>88</v>
      </c>
      <c r="I397" t="s">
        <v>49</v>
      </c>
      <c r="J397">
        <v>95</v>
      </c>
      <c r="K397">
        <v>125</v>
      </c>
      <c r="L397" t="str">
        <f t="shared" ref="L397:L398" si="58">IF(K397:K1395&lt;=79,"sweet",IF(K397:K1395&lt;=120,"normal",IF(K397:K1395&lt;=250,"high",IF(K397:K1395&lt;=1000,"very high"))))</f>
        <v>high</v>
      </c>
      <c r="M397" t="s">
        <v>36</v>
      </c>
      <c r="P397" s="7" t="s">
        <v>464</v>
      </c>
      <c r="Q397" s="7" t="s">
        <v>464</v>
      </c>
    </row>
    <row r="398" spans="1:17" x14ac:dyDescent="0.25">
      <c r="A398" t="s">
        <v>476</v>
      </c>
      <c r="B398">
        <v>929382</v>
      </c>
      <c r="D398">
        <v>60</v>
      </c>
      <c r="G398">
        <v>98</v>
      </c>
      <c r="H398">
        <v>130</v>
      </c>
      <c r="I398" t="s">
        <v>477</v>
      </c>
      <c r="J398">
        <v>88</v>
      </c>
      <c r="K398">
        <v>276</v>
      </c>
      <c r="L398" t="str">
        <f t="shared" si="58"/>
        <v>very high</v>
      </c>
      <c r="P398" s="7" t="s">
        <v>460</v>
      </c>
      <c r="Q398" s="7" t="s">
        <v>464</v>
      </c>
    </row>
    <row r="399" spans="1:17" hidden="1" x14ac:dyDescent="0.25">
      <c r="A399" t="s">
        <v>478</v>
      </c>
      <c r="B399">
        <v>9249428</v>
      </c>
      <c r="D399">
        <v>55</v>
      </c>
      <c r="G399">
        <v>98</v>
      </c>
      <c r="P399" s="7" t="s">
        <v>383</v>
      </c>
      <c r="Q399" s="7" t="s">
        <v>383</v>
      </c>
    </row>
    <row r="400" spans="1:17" x14ac:dyDescent="0.25">
      <c r="A400" t="s">
        <v>479</v>
      </c>
      <c r="B400">
        <v>91262466</v>
      </c>
      <c r="D400">
        <v>80</v>
      </c>
      <c r="G400">
        <v>98</v>
      </c>
      <c r="H400">
        <v>62</v>
      </c>
      <c r="I400" t="s">
        <v>398</v>
      </c>
      <c r="J400">
        <v>58</v>
      </c>
      <c r="K400">
        <v>494</v>
      </c>
      <c r="L400" t="str">
        <f t="shared" ref="L400:L406" si="59">IF(K400:K1398&lt;=79,"sweet",IF(K400:K1398&lt;=120,"normal",IF(K400:K1398&lt;=250,"high",IF(K400:K1398&lt;=1000,"very high"))))</f>
        <v>very high</v>
      </c>
      <c r="M400" t="s">
        <v>36</v>
      </c>
      <c r="P400" s="7" t="s">
        <v>451</v>
      </c>
      <c r="Q400" s="7" t="s">
        <v>383</v>
      </c>
    </row>
    <row r="401" spans="1:17" x14ac:dyDescent="0.25">
      <c r="A401" t="s">
        <v>480</v>
      </c>
      <c r="B401">
        <v>9249835</v>
      </c>
      <c r="D401">
        <v>60</v>
      </c>
      <c r="G401">
        <v>98</v>
      </c>
      <c r="H401">
        <v>89</v>
      </c>
      <c r="I401" t="s">
        <v>92</v>
      </c>
      <c r="J401">
        <v>65</v>
      </c>
      <c r="K401">
        <v>257</v>
      </c>
      <c r="L401" t="str">
        <f t="shared" si="59"/>
        <v>very high</v>
      </c>
      <c r="P401" s="7" t="s">
        <v>383</v>
      </c>
      <c r="Q401" s="7" t="s">
        <v>383</v>
      </c>
    </row>
    <row r="402" spans="1:17" x14ac:dyDescent="0.25">
      <c r="A402" t="s">
        <v>481</v>
      </c>
      <c r="B402">
        <v>92117512</v>
      </c>
      <c r="D402">
        <v>55</v>
      </c>
      <c r="G402">
        <v>98</v>
      </c>
      <c r="H402">
        <v>78</v>
      </c>
      <c r="I402" t="s">
        <v>260</v>
      </c>
      <c r="J402">
        <v>99</v>
      </c>
      <c r="K402">
        <v>100</v>
      </c>
      <c r="L402" t="str">
        <f t="shared" si="59"/>
        <v>normal</v>
      </c>
      <c r="P402" s="7" t="s">
        <v>464</v>
      </c>
      <c r="Q402" s="7" t="s">
        <v>383</v>
      </c>
    </row>
    <row r="403" spans="1:17" x14ac:dyDescent="0.25">
      <c r="A403" t="s">
        <v>482</v>
      </c>
      <c r="B403">
        <v>455941</v>
      </c>
      <c r="D403">
        <v>60</v>
      </c>
      <c r="G403">
        <v>98</v>
      </c>
      <c r="H403">
        <v>52</v>
      </c>
      <c r="I403" t="s">
        <v>28</v>
      </c>
      <c r="J403">
        <v>98</v>
      </c>
      <c r="K403">
        <v>270</v>
      </c>
      <c r="L403" t="str">
        <f t="shared" si="59"/>
        <v>very high</v>
      </c>
      <c r="P403" s="7" t="s">
        <v>464</v>
      </c>
      <c r="Q403" s="7" t="s">
        <v>383</v>
      </c>
    </row>
    <row r="404" spans="1:17" x14ac:dyDescent="0.25">
      <c r="A404" t="s">
        <v>483</v>
      </c>
      <c r="B404">
        <v>9243965</v>
      </c>
      <c r="D404">
        <v>80</v>
      </c>
      <c r="G404">
        <v>98</v>
      </c>
      <c r="H404">
        <v>94</v>
      </c>
      <c r="I404" t="s">
        <v>154</v>
      </c>
      <c r="J404">
        <v>92</v>
      </c>
      <c r="K404">
        <v>128</v>
      </c>
      <c r="L404" t="str">
        <f t="shared" si="59"/>
        <v>high</v>
      </c>
      <c r="P404" s="7" t="s">
        <v>464</v>
      </c>
      <c r="Q404" s="7" t="s">
        <v>383</v>
      </c>
    </row>
    <row r="405" spans="1:17" x14ac:dyDescent="0.25">
      <c r="A405" t="s">
        <v>134</v>
      </c>
      <c r="B405">
        <v>9130844</v>
      </c>
      <c r="D405">
        <v>55</v>
      </c>
      <c r="G405">
        <v>98</v>
      </c>
      <c r="H405">
        <v>80</v>
      </c>
      <c r="I405" t="s">
        <v>18</v>
      </c>
      <c r="J405">
        <v>89</v>
      </c>
      <c r="K405">
        <v>272</v>
      </c>
      <c r="L405" t="str">
        <f t="shared" si="59"/>
        <v>very high</v>
      </c>
      <c r="P405" s="7" t="s">
        <v>445</v>
      </c>
      <c r="Q405" s="7" t="s">
        <v>383</v>
      </c>
    </row>
    <row r="406" spans="1:17" x14ac:dyDescent="0.25">
      <c r="A406" t="s">
        <v>484</v>
      </c>
      <c r="B406">
        <v>9273492</v>
      </c>
      <c r="D406">
        <v>65</v>
      </c>
      <c r="G406">
        <v>98</v>
      </c>
      <c r="H406">
        <v>80</v>
      </c>
      <c r="I406" t="s">
        <v>94</v>
      </c>
      <c r="J406">
        <v>99</v>
      </c>
      <c r="K406">
        <v>82</v>
      </c>
      <c r="L406" t="str">
        <f t="shared" si="59"/>
        <v>normal</v>
      </c>
      <c r="P406" s="7" t="s">
        <v>383</v>
      </c>
      <c r="Q406" s="7" t="s">
        <v>383</v>
      </c>
    </row>
    <row r="407" spans="1:17" hidden="1" x14ac:dyDescent="0.25">
      <c r="A407" t="s">
        <v>485</v>
      </c>
      <c r="B407">
        <v>347174</v>
      </c>
      <c r="D407">
        <v>63</v>
      </c>
      <c r="G407">
        <v>98</v>
      </c>
      <c r="H407">
        <v>139</v>
      </c>
      <c r="I407" t="s">
        <v>486</v>
      </c>
      <c r="J407">
        <v>98</v>
      </c>
      <c r="K407">
        <v>58</v>
      </c>
      <c r="P407" s="7" t="s">
        <v>383</v>
      </c>
      <c r="Q407" s="7" t="s">
        <v>383</v>
      </c>
    </row>
    <row r="408" spans="1:17" hidden="1" x14ac:dyDescent="0.25">
      <c r="A408" t="s">
        <v>487</v>
      </c>
      <c r="B408">
        <v>904709</v>
      </c>
      <c r="D408">
        <v>45</v>
      </c>
      <c r="G408">
        <v>98</v>
      </c>
      <c r="H408">
        <v>150</v>
      </c>
      <c r="I408" t="s">
        <v>6</v>
      </c>
      <c r="J408">
        <v>92</v>
      </c>
      <c r="P408" s="7">
        <v>44378</v>
      </c>
      <c r="Q408" s="7">
        <v>44378</v>
      </c>
    </row>
    <row r="409" spans="1:17" x14ac:dyDescent="0.25">
      <c r="A409" t="s">
        <v>488</v>
      </c>
      <c r="B409">
        <v>8840559</v>
      </c>
      <c r="D409">
        <v>60</v>
      </c>
      <c r="G409">
        <v>98</v>
      </c>
      <c r="H409">
        <v>84</v>
      </c>
      <c r="I409" t="s">
        <v>161</v>
      </c>
      <c r="J409">
        <v>99</v>
      </c>
      <c r="K409">
        <v>112</v>
      </c>
      <c r="L409" t="str">
        <f>IF(K409:K1407&lt;=79,"sweet",IF(K409:K1407&lt;=120,"normal",IF(K409:K1407&lt;=250,"high",IF(K409:K1407&lt;=1000,"very high"))))</f>
        <v>normal</v>
      </c>
      <c r="P409" s="7">
        <v>44378</v>
      </c>
      <c r="Q409" s="7">
        <v>44378</v>
      </c>
    </row>
    <row r="410" spans="1:17" hidden="1" x14ac:dyDescent="0.25">
      <c r="A410" t="s">
        <v>489</v>
      </c>
      <c r="B410">
        <v>58954809</v>
      </c>
      <c r="D410">
        <v>50</v>
      </c>
      <c r="G410">
        <v>98</v>
      </c>
      <c r="J410">
        <v>98</v>
      </c>
      <c r="P410" s="7">
        <v>44378</v>
      </c>
      <c r="Q410" s="7">
        <v>44378</v>
      </c>
    </row>
    <row r="411" spans="1:17" hidden="1" x14ac:dyDescent="0.25">
      <c r="A411" t="s">
        <v>490</v>
      </c>
      <c r="B411">
        <v>8849039</v>
      </c>
      <c r="D411">
        <v>75</v>
      </c>
      <c r="G411">
        <v>98</v>
      </c>
      <c r="H411">
        <v>86</v>
      </c>
      <c r="I411" t="s">
        <v>491</v>
      </c>
      <c r="J411">
        <v>92</v>
      </c>
      <c r="O411" t="s">
        <v>967</v>
      </c>
      <c r="P411" s="7">
        <v>44378</v>
      </c>
      <c r="Q411" s="7">
        <v>44378</v>
      </c>
    </row>
    <row r="412" spans="1:17" x14ac:dyDescent="0.25">
      <c r="A412" t="s">
        <v>492</v>
      </c>
      <c r="B412">
        <v>885716</v>
      </c>
      <c r="D412">
        <v>65</v>
      </c>
      <c r="G412">
        <v>98</v>
      </c>
      <c r="H412">
        <v>78</v>
      </c>
      <c r="I412" t="s">
        <v>260</v>
      </c>
      <c r="J412">
        <v>98</v>
      </c>
      <c r="K412">
        <v>266</v>
      </c>
      <c r="L412" t="str">
        <f t="shared" ref="L412:L413" si="60">IF(K412:K1410&lt;=79,"sweet",IF(K412:K1410&lt;=120,"normal",IF(K412:K1410&lt;=250,"high",IF(K412:K1410&lt;=1000,"very high"))))</f>
        <v>very high</v>
      </c>
      <c r="P412" s="7">
        <v>44378</v>
      </c>
      <c r="Q412" s="7">
        <v>44409</v>
      </c>
    </row>
    <row r="413" spans="1:17" x14ac:dyDescent="0.25">
      <c r="A413" t="s">
        <v>493</v>
      </c>
      <c r="B413">
        <v>8848056</v>
      </c>
      <c r="D413">
        <v>52</v>
      </c>
      <c r="G413">
        <v>98</v>
      </c>
      <c r="H413">
        <v>98</v>
      </c>
      <c r="I413" t="s">
        <v>398</v>
      </c>
      <c r="J413">
        <v>96</v>
      </c>
      <c r="K413">
        <v>196</v>
      </c>
      <c r="L413" t="str">
        <f t="shared" si="60"/>
        <v>high</v>
      </c>
      <c r="O413" t="s">
        <v>967</v>
      </c>
      <c r="P413" s="7">
        <v>44378</v>
      </c>
      <c r="Q413" s="7">
        <v>44409</v>
      </c>
    </row>
    <row r="414" spans="1:17" hidden="1" x14ac:dyDescent="0.25">
      <c r="A414" t="s">
        <v>494</v>
      </c>
      <c r="B414">
        <v>8855932</v>
      </c>
      <c r="D414">
        <v>42</v>
      </c>
      <c r="G414">
        <v>98</v>
      </c>
      <c r="H414">
        <v>83</v>
      </c>
      <c r="I414" t="s">
        <v>6</v>
      </c>
      <c r="J414">
        <v>94</v>
      </c>
      <c r="P414" s="7">
        <v>44409</v>
      </c>
      <c r="Q414" s="7">
        <v>44409</v>
      </c>
    </row>
    <row r="415" spans="1:17" x14ac:dyDescent="0.25">
      <c r="A415" t="s">
        <v>117</v>
      </c>
      <c r="B415">
        <v>875372</v>
      </c>
      <c r="D415">
        <v>55</v>
      </c>
      <c r="G415">
        <v>98</v>
      </c>
      <c r="H415">
        <v>80</v>
      </c>
      <c r="I415" t="s">
        <v>94</v>
      </c>
      <c r="J415">
        <v>85</v>
      </c>
      <c r="K415">
        <v>85</v>
      </c>
      <c r="L415" t="str">
        <f t="shared" ref="L415:L416" si="61">IF(K415:K1413&lt;=79,"sweet",IF(K415:K1413&lt;=120,"normal",IF(K415:K1413&lt;=250,"high",IF(K415:K1413&lt;=1000,"very high"))))</f>
        <v>normal</v>
      </c>
      <c r="M415" t="s">
        <v>969</v>
      </c>
      <c r="P415" s="7">
        <v>44409</v>
      </c>
      <c r="Q415" s="7">
        <v>44409</v>
      </c>
    </row>
    <row r="416" spans="1:17" x14ac:dyDescent="0.25">
      <c r="A416" t="s">
        <v>495</v>
      </c>
      <c r="B416">
        <v>8764617</v>
      </c>
      <c r="D416">
        <v>50</v>
      </c>
      <c r="G416">
        <v>98</v>
      </c>
      <c r="H416">
        <v>89</v>
      </c>
      <c r="I416" t="s">
        <v>154</v>
      </c>
      <c r="J416">
        <v>78</v>
      </c>
      <c r="K416">
        <v>333</v>
      </c>
      <c r="L416" t="str">
        <f t="shared" si="61"/>
        <v>very high</v>
      </c>
      <c r="O416" t="s">
        <v>968</v>
      </c>
      <c r="P416" s="7">
        <v>44440</v>
      </c>
      <c r="Q416" s="7">
        <v>44440</v>
      </c>
    </row>
    <row r="417" spans="1:18" hidden="1" x14ac:dyDescent="0.25">
      <c r="A417" t="s">
        <v>496</v>
      </c>
      <c r="B417">
        <v>8876005</v>
      </c>
      <c r="D417">
        <v>60</v>
      </c>
      <c r="G417">
        <v>98</v>
      </c>
      <c r="H417">
        <v>52</v>
      </c>
      <c r="I417" t="s">
        <v>6</v>
      </c>
      <c r="K417">
        <v>54</v>
      </c>
      <c r="N417" t="s">
        <v>976</v>
      </c>
      <c r="P417" s="7">
        <v>44409</v>
      </c>
      <c r="Q417" s="7">
        <v>44440</v>
      </c>
    </row>
    <row r="418" spans="1:18" x14ac:dyDescent="0.25">
      <c r="A418" t="s">
        <v>497</v>
      </c>
      <c r="B418">
        <v>8845201</v>
      </c>
      <c r="D418">
        <v>20</v>
      </c>
      <c r="G418">
        <v>98</v>
      </c>
      <c r="H418">
        <v>152</v>
      </c>
      <c r="I418" t="s">
        <v>498</v>
      </c>
      <c r="J418">
        <v>96</v>
      </c>
      <c r="K418">
        <v>192</v>
      </c>
      <c r="L418" t="str">
        <f>IF(K418:K1416&lt;=79,"sweet",IF(K418:K1416&lt;=120,"normal",IF(K418:K1416&lt;=250,"high",IF(K418:K1416&lt;=1000,"very high"))))</f>
        <v>high</v>
      </c>
      <c r="O418" t="s">
        <v>967</v>
      </c>
      <c r="P418" s="7">
        <v>44378</v>
      </c>
      <c r="Q418" s="7">
        <v>44440</v>
      </c>
    </row>
    <row r="419" spans="1:18" hidden="1" x14ac:dyDescent="0.25">
      <c r="A419" t="s">
        <v>499</v>
      </c>
      <c r="B419">
        <v>8901515</v>
      </c>
      <c r="D419">
        <v>18</v>
      </c>
      <c r="G419">
        <v>98</v>
      </c>
      <c r="I419" t="s">
        <v>49</v>
      </c>
      <c r="O419" t="s">
        <v>967</v>
      </c>
      <c r="P419" s="7">
        <v>44440</v>
      </c>
      <c r="Q419" s="7">
        <v>44440</v>
      </c>
    </row>
    <row r="420" spans="1:18" x14ac:dyDescent="0.25">
      <c r="A420" t="s">
        <v>500</v>
      </c>
      <c r="B420">
        <v>8887282</v>
      </c>
      <c r="D420">
        <v>20</v>
      </c>
      <c r="G420">
        <v>98</v>
      </c>
      <c r="H420">
        <v>112</v>
      </c>
      <c r="I420" t="s">
        <v>47</v>
      </c>
      <c r="J420">
        <v>96</v>
      </c>
      <c r="K420">
        <v>116</v>
      </c>
      <c r="L420" t="str">
        <f t="shared" ref="L420:L425" si="62">IF(K420:K1418&lt;=79,"sweet",IF(K420:K1418&lt;=120,"normal",IF(K420:K1418&lt;=250,"high",IF(K420:K1418&lt;=1000,"very high"))))</f>
        <v>normal</v>
      </c>
      <c r="P420" s="7">
        <v>44440</v>
      </c>
      <c r="Q420" s="7">
        <v>44440</v>
      </c>
    </row>
    <row r="421" spans="1:18" x14ac:dyDescent="0.25">
      <c r="A421" t="s">
        <v>261</v>
      </c>
      <c r="B421">
        <v>89068562</v>
      </c>
      <c r="D421">
        <v>60</v>
      </c>
      <c r="G421">
        <v>98</v>
      </c>
      <c r="H421">
        <v>85</v>
      </c>
      <c r="I421" t="s">
        <v>498</v>
      </c>
      <c r="J421">
        <v>95</v>
      </c>
      <c r="K421">
        <v>111</v>
      </c>
      <c r="L421" t="str">
        <f t="shared" si="62"/>
        <v>normal</v>
      </c>
      <c r="O421" t="s">
        <v>967</v>
      </c>
      <c r="P421" s="7">
        <v>44440</v>
      </c>
      <c r="Q421" s="7">
        <v>44440</v>
      </c>
    </row>
    <row r="422" spans="1:18" x14ac:dyDescent="0.25">
      <c r="A422" t="s">
        <v>501</v>
      </c>
      <c r="B422">
        <v>89111512</v>
      </c>
      <c r="D422">
        <v>80</v>
      </c>
      <c r="G422">
        <v>98</v>
      </c>
      <c r="H422">
        <v>90</v>
      </c>
      <c r="I422" t="s">
        <v>502</v>
      </c>
      <c r="J422">
        <v>98</v>
      </c>
      <c r="K422">
        <v>240</v>
      </c>
      <c r="L422" t="str">
        <f t="shared" si="62"/>
        <v>high</v>
      </c>
      <c r="P422" s="7">
        <v>44440</v>
      </c>
      <c r="Q422" s="7">
        <v>44470</v>
      </c>
    </row>
    <row r="423" spans="1:18" x14ac:dyDescent="0.25">
      <c r="A423" t="s">
        <v>134</v>
      </c>
      <c r="B423">
        <v>8893405</v>
      </c>
      <c r="D423">
        <v>63</v>
      </c>
      <c r="G423">
        <v>98</v>
      </c>
      <c r="H423">
        <v>124</v>
      </c>
      <c r="I423" t="s">
        <v>503</v>
      </c>
      <c r="J423">
        <v>98</v>
      </c>
      <c r="K423">
        <v>230</v>
      </c>
      <c r="L423" t="str">
        <f t="shared" si="62"/>
        <v>high</v>
      </c>
      <c r="P423" s="7">
        <v>44440</v>
      </c>
      <c r="Q423" s="7">
        <v>44470</v>
      </c>
    </row>
    <row r="424" spans="1:18" x14ac:dyDescent="0.25">
      <c r="A424" t="s">
        <v>504</v>
      </c>
      <c r="B424">
        <v>8910613</v>
      </c>
      <c r="D424">
        <v>30</v>
      </c>
      <c r="G424">
        <v>98</v>
      </c>
      <c r="H424">
        <v>58</v>
      </c>
      <c r="I424" t="s">
        <v>161</v>
      </c>
      <c r="J424">
        <v>98</v>
      </c>
      <c r="K424">
        <v>130</v>
      </c>
      <c r="L424" t="str">
        <f t="shared" si="62"/>
        <v>high</v>
      </c>
      <c r="P424" s="7">
        <v>44440</v>
      </c>
      <c r="Q424" s="7">
        <v>44470</v>
      </c>
    </row>
    <row r="425" spans="1:18" x14ac:dyDescent="0.25">
      <c r="A425" t="s">
        <v>505</v>
      </c>
      <c r="B425">
        <v>8917132</v>
      </c>
      <c r="D425">
        <v>65</v>
      </c>
      <c r="G425">
        <v>98</v>
      </c>
      <c r="H425">
        <v>95</v>
      </c>
      <c r="I425" t="s">
        <v>981</v>
      </c>
      <c r="J425">
        <v>75</v>
      </c>
      <c r="K425">
        <v>226</v>
      </c>
      <c r="L425" t="str">
        <f t="shared" si="62"/>
        <v>high</v>
      </c>
      <c r="P425" s="7">
        <v>44470</v>
      </c>
      <c r="Q425" s="7">
        <v>44470</v>
      </c>
    </row>
    <row r="426" spans="1:18" hidden="1" x14ac:dyDescent="0.25">
      <c r="A426" t="s">
        <v>200</v>
      </c>
      <c r="B426">
        <v>8913926</v>
      </c>
      <c r="D426">
        <v>14</v>
      </c>
      <c r="G426">
        <v>98</v>
      </c>
      <c r="H426">
        <v>88</v>
      </c>
      <c r="I426" t="s">
        <v>161</v>
      </c>
      <c r="M426" t="s">
        <v>36</v>
      </c>
      <c r="P426" s="7">
        <v>44470</v>
      </c>
      <c r="Q426" s="7">
        <v>44470</v>
      </c>
      <c r="R426" t="s">
        <v>506</v>
      </c>
    </row>
    <row r="427" spans="1:18" hidden="1" x14ac:dyDescent="0.25">
      <c r="A427" t="s">
        <v>507</v>
      </c>
      <c r="B427">
        <v>8916204</v>
      </c>
      <c r="D427">
        <v>50</v>
      </c>
      <c r="G427">
        <v>98</v>
      </c>
      <c r="H427">
        <v>96</v>
      </c>
      <c r="I427" t="s">
        <v>332</v>
      </c>
      <c r="P427" s="7">
        <v>44470</v>
      </c>
      <c r="Q427" s="7">
        <v>44470</v>
      </c>
    </row>
    <row r="428" spans="1:18" x14ac:dyDescent="0.25">
      <c r="A428" t="s">
        <v>299</v>
      </c>
      <c r="B428">
        <v>6916707</v>
      </c>
      <c r="D428">
        <v>50</v>
      </c>
      <c r="G428">
        <v>98</v>
      </c>
      <c r="H428">
        <v>80</v>
      </c>
      <c r="I428" t="s">
        <v>110</v>
      </c>
      <c r="J428">
        <v>58</v>
      </c>
      <c r="K428">
        <v>90</v>
      </c>
      <c r="L428" t="str">
        <f>IF(K428:K1426&lt;=79,"sweet",IF(K428:K1426&lt;=120,"normal",IF(K428:K1426&lt;=250,"high",IF(K428:K1426&lt;=1000,"very high"))))</f>
        <v>normal</v>
      </c>
      <c r="O428" t="s">
        <v>967</v>
      </c>
      <c r="P428" s="7">
        <v>44470</v>
      </c>
      <c r="Q428" s="7">
        <v>44470</v>
      </c>
    </row>
    <row r="429" spans="1:18" hidden="1" x14ac:dyDescent="0.25">
      <c r="A429" t="s">
        <v>508</v>
      </c>
      <c r="B429">
        <v>5432101</v>
      </c>
      <c r="D429">
        <v>38</v>
      </c>
      <c r="G429">
        <v>98</v>
      </c>
      <c r="H429">
        <v>96</v>
      </c>
      <c r="I429" t="s">
        <v>92</v>
      </c>
      <c r="P429" s="7">
        <v>44501</v>
      </c>
      <c r="Q429" s="7">
        <v>44501</v>
      </c>
    </row>
    <row r="430" spans="1:18" hidden="1" x14ac:dyDescent="0.25">
      <c r="A430" t="s">
        <v>509</v>
      </c>
      <c r="B430">
        <v>8949236</v>
      </c>
      <c r="D430">
        <v>70</v>
      </c>
      <c r="G430">
        <v>98</v>
      </c>
      <c r="H430">
        <v>92</v>
      </c>
      <c r="I430" t="s">
        <v>79</v>
      </c>
      <c r="P430" s="7">
        <v>44501</v>
      </c>
      <c r="Q430" s="7">
        <v>44501</v>
      </c>
    </row>
    <row r="431" spans="1:18" hidden="1" x14ac:dyDescent="0.25">
      <c r="A431" t="s">
        <v>510</v>
      </c>
      <c r="B431">
        <v>555415</v>
      </c>
      <c r="D431">
        <v>45</v>
      </c>
      <c r="G431">
        <v>98</v>
      </c>
      <c r="H431">
        <v>78</v>
      </c>
      <c r="I431" t="s">
        <v>92</v>
      </c>
      <c r="K431">
        <v>75</v>
      </c>
      <c r="M431" t="s">
        <v>969</v>
      </c>
      <c r="P431" s="7">
        <v>44501</v>
      </c>
      <c r="Q431" s="7">
        <v>44501</v>
      </c>
      <c r="R431" t="s">
        <v>75</v>
      </c>
    </row>
    <row r="432" spans="1:18" hidden="1" x14ac:dyDescent="0.25">
      <c r="A432" t="s">
        <v>511</v>
      </c>
      <c r="B432">
        <v>89564179</v>
      </c>
      <c r="D432">
        <v>80</v>
      </c>
      <c r="G432">
        <v>98</v>
      </c>
      <c r="H432">
        <v>96</v>
      </c>
      <c r="I432" t="s">
        <v>347</v>
      </c>
      <c r="J432">
        <v>95</v>
      </c>
      <c r="K432">
        <v>56</v>
      </c>
      <c r="N432" t="s">
        <v>976</v>
      </c>
      <c r="P432" s="7">
        <v>44501</v>
      </c>
      <c r="Q432" s="7">
        <v>44501</v>
      </c>
      <c r="R432" t="s">
        <v>512</v>
      </c>
    </row>
    <row r="433" spans="1:18" x14ac:dyDescent="0.25">
      <c r="A433" t="s">
        <v>265</v>
      </c>
      <c r="B433">
        <v>8956921</v>
      </c>
      <c r="D433">
        <v>65</v>
      </c>
      <c r="G433">
        <v>98</v>
      </c>
      <c r="H433">
        <v>118</v>
      </c>
      <c r="I433" t="s">
        <v>513</v>
      </c>
      <c r="J433">
        <v>93</v>
      </c>
      <c r="K433">
        <v>152</v>
      </c>
      <c r="L433" t="str">
        <f>IF(K433:K1431&lt;=79,"sweet",IF(K433:K1431&lt;=120,"normal",IF(K433:K1431&lt;=250,"high",IF(K433:K1431&lt;=1000,"very high"))))</f>
        <v>high</v>
      </c>
      <c r="O433" t="s">
        <v>968</v>
      </c>
      <c r="P433" s="7">
        <v>44501</v>
      </c>
      <c r="Q433" s="7">
        <v>44531</v>
      </c>
    </row>
    <row r="434" spans="1:18" hidden="1" x14ac:dyDescent="0.25">
      <c r="A434" t="s">
        <v>514</v>
      </c>
      <c r="B434">
        <v>8955945</v>
      </c>
      <c r="D434">
        <v>26</v>
      </c>
      <c r="G434">
        <v>98</v>
      </c>
      <c r="H434">
        <v>72</v>
      </c>
      <c r="I434" t="s">
        <v>62</v>
      </c>
      <c r="M434" t="s">
        <v>36</v>
      </c>
      <c r="P434" s="7">
        <v>44501</v>
      </c>
      <c r="Q434" s="7">
        <v>44531</v>
      </c>
      <c r="R434" t="s">
        <v>515</v>
      </c>
    </row>
    <row r="435" spans="1:18" x14ac:dyDescent="0.25">
      <c r="A435" t="s">
        <v>516</v>
      </c>
      <c r="B435">
        <v>60490</v>
      </c>
      <c r="D435">
        <v>55</v>
      </c>
      <c r="G435">
        <v>98</v>
      </c>
      <c r="H435">
        <v>68</v>
      </c>
      <c r="I435" t="s">
        <v>347</v>
      </c>
      <c r="J435">
        <v>68</v>
      </c>
      <c r="K435">
        <v>266</v>
      </c>
      <c r="L435" t="str">
        <f t="shared" ref="L435:L440" si="63">IF(K435:K1433&lt;=79,"sweet",IF(K435:K1433&lt;=120,"normal",IF(K435:K1433&lt;=250,"high",IF(K435:K1433&lt;=1000,"very high"))))</f>
        <v>very high</v>
      </c>
      <c r="P435" s="7">
        <v>44531</v>
      </c>
      <c r="Q435" s="7">
        <v>44531</v>
      </c>
    </row>
    <row r="436" spans="1:18" x14ac:dyDescent="0.25">
      <c r="A436" t="s">
        <v>517</v>
      </c>
      <c r="B436">
        <v>8998261</v>
      </c>
      <c r="D436">
        <v>65</v>
      </c>
      <c r="G436">
        <v>98</v>
      </c>
      <c r="H436">
        <v>102</v>
      </c>
      <c r="I436" t="s">
        <v>94</v>
      </c>
      <c r="J436">
        <v>64</v>
      </c>
      <c r="K436">
        <v>129</v>
      </c>
      <c r="L436" t="str">
        <f t="shared" si="63"/>
        <v>high</v>
      </c>
      <c r="P436" s="7">
        <v>44531</v>
      </c>
      <c r="Q436" s="7" t="s">
        <v>518</v>
      </c>
    </row>
    <row r="437" spans="1:18" x14ac:dyDescent="0.25">
      <c r="A437" t="s">
        <v>465</v>
      </c>
      <c r="B437">
        <v>895273</v>
      </c>
      <c r="D437">
        <v>40</v>
      </c>
      <c r="G437">
        <v>98</v>
      </c>
      <c r="H437">
        <v>56</v>
      </c>
      <c r="I437" t="s">
        <v>43</v>
      </c>
      <c r="J437">
        <v>93</v>
      </c>
      <c r="K437">
        <v>85</v>
      </c>
      <c r="L437" t="str">
        <f t="shared" si="63"/>
        <v>normal</v>
      </c>
      <c r="N437" t="s">
        <v>973</v>
      </c>
      <c r="P437" s="7">
        <v>44531</v>
      </c>
      <c r="Q437" s="7" t="s">
        <v>518</v>
      </c>
    </row>
    <row r="438" spans="1:18" x14ac:dyDescent="0.25">
      <c r="A438" t="s">
        <v>370</v>
      </c>
      <c r="B438">
        <v>89174162</v>
      </c>
      <c r="D438">
        <v>70</v>
      </c>
      <c r="G438">
        <v>98</v>
      </c>
      <c r="H438">
        <v>70</v>
      </c>
      <c r="I438" t="s">
        <v>28</v>
      </c>
      <c r="J438">
        <v>98</v>
      </c>
      <c r="K438">
        <v>231</v>
      </c>
      <c r="L438" t="str">
        <f t="shared" si="63"/>
        <v>high</v>
      </c>
      <c r="P438" s="7">
        <v>44470</v>
      </c>
      <c r="Q438" s="7" t="s">
        <v>518</v>
      </c>
    </row>
    <row r="439" spans="1:18" x14ac:dyDescent="0.25">
      <c r="A439" t="s">
        <v>519</v>
      </c>
      <c r="B439">
        <v>8991997</v>
      </c>
      <c r="D439">
        <v>56</v>
      </c>
      <c r="G439">
        <v>98</v>
      </c>
      <c r="H439">
        <v>85</v>
      </c>
      <c r="I439" t="s">
        <v>980</v>
      </c>
      <c r="J439">
        <v>58</v>
      </c>
      <c r="K439">
        <v>209</v>
      </c>
      <c r="L439" t="str">
        <f t="shared" si="63"/>
        <v>high</v>
      </c>
      <c r="P439" s="7">
        <v>44531</v>
      </c>
      <c r="Q439" s="7" t="s">
        <v>518</v>
      </c>
      <c r="R439" t="s">
        <v>520</v>
      </c>
    </row>
    <row r="440" spans="1:18" x14ac:dyDescent="0.25">
      <c r="A440" t="s">
        <v>521</v>
      </c>
      <c r="B440">
        <v>8998783</v>
      </c>
      <c r="D440">
        <v>60</v>
      </c>
      <c r="G440">
        <v>98</v>
      </c>
      <c r="H440">
        <v>100</v>
      </c>
      <c r="I440" t="s">
        <v>194</v>
      </c>
      <c r="J440">
        <v>68</v>
      </c>
      <c r="K440">
        <v>234</v>
      </c>
      <c r="L440" t="str">
        <f t="shared" si="63"/>
        <v>high</v>
      </c>
      <c r="P440" s="7" t="s">
        <v>518</v>
      </c>
      <c r="Q440" s="7" t="s">
        <v>518</v>
      </c>
      <c r="R440" t="s">
        <v>522</v>
      </c>
    </row>
    <row r="441" spans="1:18" hidden="1" x14ac:dyDescent="0.25">
      <c r="A441" t="s">
        <v>429</v>
      </c>
      <c r="B441">
        <v>8830028</v>
      </c>
      <c r="D441">
        <v>30</v>
      </c>
      <c r="G441">
        <v>98</v>
      </c>
      <c r="H441">
        <v>136</v>
      </c>
      <c r="I441" t="s">
        <v>523</v>
      </c>
      <c r="J441">
        <v>93</v>
      </c>
      <c r="P441" s="7">
        <v>44378</v>
      </c>
      <c r="Q441" s="7">
        <v>44409</v>
      </c>
      <c r="R441" t="s">
        <v>524</v>
      </c>
    </row>
    <row r="442" spans="1:18" x14ac:dyDescent="0.25">
      <c r="A442" t="s">
        <v>525</v>
      </c>
      <c r="B442">
        <v>8832377</v>
      </c>
      <c r="D442">
        <v>65</v>
      </c>
      <c r="G442">
        <v>98</v>
      </c>
      <c r="H442">
        <v>118</v>
      </c>
      <c r="I442" t="s">
        <v>526</v>
      </c>
      <c r="J442">
        <v>99</v>
      </c>
      <c r="K442">
        <v>186</v>
      </c>
      <c r="L442" t="str">
        <f t="shared" ref="L442:L448" si="64">IF(K442:K1440&lt;=79,"sweet",IF(K442:K1440&lt;=120,"normal",IF(K442:K1440&lt;=250,"high",IF(K442:K1440&lt;=1000,"very high"))))</f>
        <v>high</v>
      </c>
      <c r="P442" s="7">
        <v>44378</v>
      </c>
      <c r="Q442" s="7" t="s">
        <v>518</v>
      </c>
    </row>
    <row r="443" spans="1:18" x14ac:dyDescent="0.25">
      <c r="A443" t="s">
        <v>527</v>
      </c>
      <c r="B443">
        <v>9032464</v>
      </c>
      <c r="D443">
        <v>50</v>
      </c>
      <c r="G443">
        <v>98</v>
      </c>
      <c r="H443">
        <v>79</v>
      </c>
      <c r="I443" t="s">
        <v>53</v>
      </c>
      <c r="J443">
        <v>97</v>
      </c>
      <c r="K443">
        <v>452</v>
      </c>
      <c r="L443" t="str">
        <f t="shared" si="64"/>
        <v>very high</v>
      </c>
      <c r="P443" s="7" t="s">
        <v>518</v>
      </c>
      <c r="Q443" s="7" t="s">
        <v>427</v>
      </c>
      <c r="R443" t="s">
        <v>528</v>
      </c>
    </row>
    <row r="444" spans="1:18" x14ac:dyDescent="0.25">
      <c r="A444" t="s">
        <v>529</v>
      </c>
      <c r="B444">
        <v>8994599</v>
      </c>
      <c r="D444">
        <v>80</v>
      </c>
      <c r="G444">
        <v>98</v>
      </c>
      <c r="H444">
        <v>50</v>
      </c>
      <c r="I444" t="s">
        <v>526</v>
      </c>
      <c r="J444">
        <v>69</v>
      </c>
      <c r="K444">
        <v>126</v>
      </c>
      <c r="L444" t="str">
        <f t="shared" si="64"/>
        <v>high</v>
      </c>
      <c r="O444" t="s">
        <v>967</v>
      </c>
      <c r="P444" s="7">
        <v>44531</v>
      </c>
      <c r="Q444" s="7" t="s">
        <v>427</v>
      </c>
      <c r="R444" t="s">
        <v>530</v>
      </c>
    </row>
    <row r="445" spans="1:18" x14ac:dyDescent="0.25">
      <c r="A445" t="s">
        <v>531</v>
      </c>
      <c r="B445">
        <v>255050</v>
      </c>
      <c r="D445">
        <v>75</v>
      </c>
      <c r="G445">
        <v>98</v>
      </c>
      <c r="H445">
        <v>78</v>
      </c>
      <c r="I445" t="s">
        <v>532</v>
      </c>
      <c r="J445">
        <v>81</v>
      </c>
      <c r="K445">
        <v>90</v>
      </c>
      <c r="L445" t="str">
        <f t="shared" si="64"/>
        <v>normal</v>
      </c>
      <c r="O445" t="s">
        <v>967</v>
      </c>
      <c r="P445" s="7" t="s">
        <v>518</v>
      </c>
      <c r="Q445" s="7" t="s">
        <v>427</v>
      </c>
      <c r="R445" t="s">
        <v>533</v>
      </c>
    </row>
    <row r="446" spans="1:18" x14ac:dyDescent="0.25">
      <c r="A446" t="s">
        <v>534</v>
      </c>
      <c r="B446">
        <v>8926962</v>
      </c>
      <c r="D446">
        <v>70</v>
      </c>
      <c r="G446">
        <v>98</v>
      </c>
      <c r="H446">
        <v>88</v>
      </c>
      <c r="I446" t="s">
        <v>92</v>
      </c>
      <c r="J446">
        <v>81</v>
      </c>
      <c r="K446">
        <v>156</v>
      </c>
      <c r="L446" t="str">
        <f t="shared" si="64"/>
        <v>high</v>
      </c>
      <c r="P446" s="7">
        <v>44531</v>
      </c>
      <c r="Q446" s="7" t="s">
        <v>427</v>
      </c>
      <c r="R446" t="s">
        <v>533</v>
      </c>
    </row>
    <row r="447" spans="1:18" x14ac:dyDescent="0.25">
      <c r="A447" t="s">
        <v>535</v>
      </c>
      <c r="B447">
        <v>9055082</v>
      </c>
      <c r="D447">
        <v>12</v>
      </c>
      <c r="G447">
        <v>98</v>
      </c>
      <c r="H447">
        <v>145</v>
      </c>
      <c r="I447" t="s">
        <v>536</v>
      </c>
      <c r="J447">
        <v>80</v>
      </c>
      <c r="K447">
        <v>88</v>
      </c>
      <c r="L447" t="str">
        <f t="shared" si="64"/>
        <v>normal</v>
      </c>
      <c r="P447" s="7" t="s">
        <v>427</v>
      </c>
      <c r="Q447" s="7" t="s">
        <v>427</v>
      </c>
    </row>
    <row r="448" spans="1:18" x14ac:dyDescent="0.25">
      <c r="A448" t="s">
        <v>537</v>
      </c>
      <c r="B448">
        <v>9062944</v>
      </c>
      <c r="D448">
        <v>22</v>
      </c>
      <c r="G448">
        <v>98</v>
      </c>
      <c r="H448">
        <v>110</v>
      </c>
      <c r="I448" t="s">
        <v>6</v>
      </c>
      <c r="J448">
        <v>99</v>
      </c>
      <c r="K448">
        <v>90</v>
      </c>
      <c r="L448" t="str">
        <f t="shared" si="64"/>
        <v>normal</v>
      </c>
      <c r="P448" s="7" t="s">
        <v>427</v>
      </c>
      <c r="Q448" s="7" t="s">
        <v>427</v>
      </c>
    </row>
    <row r="449" spans="1:18" hidden="1" x14ac:dyDescent="0.25">
      <c r="A449" t="s">
        <v>538</v>
      </c>
      <c r="B449">
        <v>9060482</v>
      </c>
      <c r="D449">
        <v>70</v>
      </c>
      <c r="G449">
        <v>98</v>
      </c>
      <c r="H449">
        <v>80</v>
      </c>
      <c r="I449" t="s">
        <v>6</v>
      </c>
      <c r="J449">
        <v>70</v>
      </c>
      <c r="P449" s="7" t="s">
        <v>427</v>
      </c>
      <c r="Q449" s="7" t="s">
        <v>427</v>
      </c>
      <c r="R449" t="s">
        <v>539</v>
      </c>
    </row>
    <row r="450" spans="1:18" x14ac:dyDescent="0.25">
      <c r="A450" t="s">
        <v>453</v>
      </c>
      <c r="B450">
        <v>9066355</v>
      </c>
      <c r="D450">
        <v>52</v>
      </c>
      <c r="G450">
        <v>98</v>
      </c>
      <c r="H450">
        <v>82</v>
      </c>
      <c r="I450" t="s">
        <v>120</v>
      </c>
      <c r="J450">
        <v>96</v>
      </c>
      <c r="K450">
        <v>135</v>
      </c>
      <c r="L450" t="str">
        <f t="shared" ref="L450:L453" si="65">IF(K450:K1448&lt;=79,"sweet",IF(K450:K1448&lt;=120,"normal",IF(K450:K1448&lt;=250,"high",IF(K450:K1448&lt;=1000,"very high"))))</f>
        <v>high</v>
      </c>
      <c r="O450" t="s">
        <v>977</v>
      </c>
      <c r="P450" s="7" t="s">
        <v>427</v>
      </c>
      <c r="Q450" s="7" t="s">
        <v>427</v>
      </c>
      <c r="R450" t="s">
        <v>533</v>
      </c>
    </row>
    <row r="451" spans="1:18" x14ac:dyDescent="0.25">
      <c r="A451" t="s">
        <v>540</v>
      </c>
      <c r="B451">
        <v>8817770</v>
      </c>
      <c r="D451">
        <v>20</v>
      </c>
      <c r="G451">
        <v>98</v>
      </c>
      <c r="H451">
        <v>150</v>
      </c>
      <c r="I451" t="s">
        <v>541</v>
      </c>
      <c r="J451">
        <v>90</v>
      </c>
      <c r="K451">
        <v>100</v>
      </c>
      <c r="L451" t="str">
        <f t="shared" si="65"/>
        <v>normal</v>
      </c>
      <c r="P451" s="7">
        <v>44378</v>
      </c>
      <c r="Q451" s="7">
        <v>44378</v>
      </c>
      <c r="R451" t="s">
        <v>542</v>
      </c>
    </row>
    <row r="452" spans="1:18" x14ac:dyDescent="0.25">
      <c r="A452" t="s">
        <v>543</v>
      </c>
      <c r="B452">
        <v>8917991</v>
      </c>
      <c r="D452">
        <v>40</v>
      </c>
      <c r="G452">
        <v>98</v>
      </c>
      <c r="H452">
        <v>89</v>
      </c>
      <c r="I452" t="s">
        <v>526</v>
      </c>
      <c r="J452">
        <v>98</v>
      </c>
      <c r="K452">
        <v>352</v>
      </c>
      <c r="L452" t="str">
        <f t="shared" si="65"/>
        <v>very high</v>
      </c>
      <c r="M452" t="s">
        <v>36</v>
      </c>
      <c r="O452" t="s">
        <v>967</v>
      </c>
      <c r="P452" s="7">
        <v>44531</v>
      </c>
      <c r="Q452" s="7" t="s">
        <v>518</v>
      </c>
      <c r="R452" t="s">
        <v>544</v>
      </c>
    </row>
    <row r="453" spans="1:18" x14ac:dyDescent="0.25">
      <c r="A453" t="s">
        <v>545</v>
      </c>
      <c r="B453">
        <v>89943252</v>
      </c>
      <c r="D453">
        <v>18</v>
      </c>
      <c r="G453">
        <v>98</v>
      </c>
      <c r="H453">
        <v>82</v>
      </c>
      <c r="I453" t="s">
        <v>6</v>
      </c>
      <c r="J453">
        <v>48</v>
      </c>
      <c r="K453">
        <v>120</v>
      </c>
      <c r="L453" t="str">
        <f t="shared" si="65"/>
        <v>normal</v>
      </c>
      <c r="P453" s="7">
        <v>44531</v>
      </c>
      <c r="Q453" s="7">
        <v>44531</v>
      </c>
    </row>
    <row r="454" spans="1:18" hidden="1" x14ac:dyDescent="0.25">
      <c r="A454" t="s">
        <v>471</v>
      </c>
      <c r="B454">
        <v>545122</v>
      </c>
      <c r="D454">
        <v>80</v>
      </c>
      <c r="G454">
        <v>98</v>
      </c>
      <c r="H454">
        <v>110</v>
      </c>
      <c r="I454" t="s">
        <v>62</v>
      </c>
      <c r="J454">
        <v>95</v>
      </c>
      <c r="K454">
        <v>75</v>
      </c>
      <c r="O454" t="s">
        <v>967</v>
      </c>
      <c r="P454" s="7">
        <v>44531</v>
      </c>
      <c r="Q454" s="7">
        <v>44531</v>
      </c>
    </row>
    <row r="455" spans="1:18" x14ac:dyDescent="0.25">
      <c r="A455" t="s">
        <v>472</v>
      </c>
      <c r="B455">
        <v>5666221</v>
      </c>
      <c r="D455">
        <v>63</v>
      </c>
      <c r="G455">
        <v>98</v>
      </c>
      <c r="H455">
        <v>90</v>
      </c>
      <c r="I455" t="s">
        <v>430</v>
      </c>
      <c r="J455">
        <v>99</v>
      </c>
      <c r="K455">
        <v>125</v>
      </c>
      <c r="L455" t="str">
        <f t="shared" ref="L455:L456" si="66">IF(K455:K1453&lt;=79,"sweet",IF(K455:K1453&lt;=120,"normal",IF(K455:K1453&lt;=250,"high",IF(K455:K1453&lt;=1000,"very high"))))</f>
        <v>high</v>
      </c>
      <c r="P455" s="7">
        <v>44531</v>
      </c>
      <c r="Q455" s="7">
        <v>44531</v>
      </c>
    </row>
    <row r="456" spans="1:18" x14ac:dyDescent="0.25">
      <c r="A456" t="s">
        <v>474</v>
      </c>
      <c r="B456">
        <v>699592</v>
      </c>
      <c r="D456">
        <v>30</v>
      </c>
      <c r="G456">
        <v>98</v>
      </c>
      <c r="H456">
        <v>62</v>
      </c>
      <c r="I456" t="s">
        <v>47</v>
      </c>
      <c r="J456">
        <v>55</v>
      </c>
      <c r="K456">
        <v>276</v>
      </c>
      <c r="L456" t="str">
        <f t="shared" si="66"/>
        <v>very high</v>
      </c>
      <c r="P456" s="7">
        <v>44531</v>
      </c>
      <c r="Q456" s="7">
        <v>44531</v>
      </c>
    </row>
    <row r="457" spans="1:18" hidden="1" x14ac:dyDescent="0.25">
      <c r="A457" t="s">
        <v>468</v>
      </c>
      <c r="B457">
        <v>212313</v>
      </c>
      <c r="D457">
        <v>65</v>
      </c>
      <c r="G457">
        <v>98</v>
      </c>
      <c r="H457">
        <v>79</v>
      </c>
      <c r="I457" t="s">
        <v>92</v>
      </c>
      <c r="J457">
        <v>65</v>
      </c>
      <c r="P457" s="7">
        <v>44531</v>
      </c>
      <c r="Q457" s="7">
        <v>44531</v>
      </c>
    </row>
    <row r="458" spans="1:18" x14ac:dyDescent="0.25">
      <c r="A458" t="s">
        <v>475</v>
      </c>
      <c r="B458">
        <v>5448513</v>
      </c>
      <c r="D458">
        <v>14</v>
      </c>
      <c r="G458">
        <v>98</v>
      </c>
      <c r="H458">
        <v>90</v>
      </c>
      <c r="I458" t="s">
        <v>434</v>
      </c>
      <c r="J458">
        <v>95</v>
      </c>
      <c r="K458">
        <v>494</v>
      </c>
      <c r="L458" t="str">
        <f t="shared" ref="L458:L464" si="67">IF(K458:K1456&lt;=79,"sweet",IF(K458:K1456&lt;=120,"normal",IF(K458:K1456&lt;=250,"high",IF(K458:K1456&lt;=1000,"very high"))))</f>
        <v>very high</v>
      </c>
      <c r="P458" s="7">
        <v>44531</v>
      </c>
      <c r="Q458" s="7">
        <v>44531</v>
      </c>
    </row>
    <row r="459" spans="1:18" x14ac:dyDescent="0.25">
      <c r="A459" t="s">
        <v>338</v>
      </c>
      <c r="B459">
        <v>655463</v>
      </c>
      <c r="D459">
        <v>50</v>
      </c>
      <c r="G459">
        <v>98</v>
      </c>
      <c r="H459">
        <v>96</v>
      </c>
      <c r="I459" t="s">
        <v>526</v>
      </c>
      <c r="J459">
        <v>99</v>
      </c>
      <c r="K459">
        <v>257</v>
      </c>
      <c r="L459" t="str">
        <f t="shared" si="67"/>
        <v>very high</v>
      </c>
      <c r="P459" s="7">
        <v>44531</v>
      </c>
      <c r="Q459" s="7">
        <v>44531</v>
      </c>
    </row>
    <row r="460" spans="1:18" x14ac:dyDescent="0.25">
      <c r="A460" t="s">
        <v>476</v>
      </c>
      <c r="B460">
        <v>594653</v>
      </c>
      <c r="D460">
        <v>50</v>
      </c>
      <c r="G460">
        <v>100</v>
      </c>
      <c r="H460">
        <v>85</v>
      </c>
      <c r="I460" t="s">
        <v>154</v>
      </c>
      <c r="J460">
        <v>97</v>
      </c>
      <c r="K460">
        <v>100</v>
      </c>
      <c r="L460" t="str">
        <f t="shared" si="67"/>
        <v>normal</v>
      </c>
      <c r="P460" s="7">
        <v>44531</v>
      </c>
      <c r="Q460" s="7">
        <v>44531</v>
      </c>
    </row>
    <row r="461" spans="1:18" x14ac:dyDescent="0.25">
      <c r="A461" t="s">
        <v>478</v>
      </c>
      <c r="B461">
        <v>2130</v>
      </c>
      <c r="D461">
        <v>38</v>
      </c>
      <c r="G461">
        <v>98</v>
      </c>
      <c r="H461">
        <v>85</v>
      </c>
      <c r="I461" t="s">
        <v>439</v>
      </c>
      <c r="J461">
        <v>88</v>
      </c>
      <c r="K461">
        <v>270</v>
      </c>
      <c r="L461" t="str">
        <f t="shared" si="67"/>
        <v>very high</v>
      </c>
      <c r="P461" s="7">
        <v>44531</v>
      </c>
      <c r="Q461" s="7" t="s">
        <v>518</v>
      </c>
    </row>
    <row r="462" spans="1:18" x14ac:dyDescent="0.25">
      <c r="A462" t="s">
        <v>479</v>
      </c>
      <c r="B462">
        <v>46465</v>
      </c>
      <c r="D462">
        <v>70</v>
      </c>
      <c r="G462">
        <v>98</v>
      </c>
      <c r="H462">
        <v>86</v>
      </c>
      <c r="I462" t="s">
        <v>62</v>
      </c>
      <c r="J462">
        <v>36</v>
      </c>
      <c r="K462">
        <v>128</v>
      </c>
      <c r="L462" t="str">
        <f t="shared" si="67"/>
        <v>high</v>
      </c>
      <c r="P462" s="7">
        <v>44531</v>
      </c>
      <c r="Q462" s="7" t="s">
        <v>518</v>
      </c>
    </row>
    <row r="463" spans="1:18" x14ac:dyDescent="0.25">
      <c r="A463" t="s">
        <v>480</v>
      </c>
      <c r="B463">
        <v>351123</v>
      </c>
      <c r="D463">
        <v>16</v>
      </c>
      <c r="G463">
        <v>98</v>
      </c>
      <c r="H463">
        <v>80</v>
      </c>
      <c r="I463" t="s">
        <v>444</v>
      </c>
      <c r="J463">
        <v>99</v>
      </c>
      <c r="K463">
        <v>272</v>
      </c>
      <c r="L463" t="str">
        <f t="shared" si="67"/>
        <v>very high</v>
      </c>
      <c r="P463" s="7">
        <v>44531</v>
      </c>
      <c r="Q463" s="7" t="s">
        <v>518</v>
      </c>
    </row>
    <row r="464" spans="1:18" x14ac:dyDescent="0.25">
      <c r="A464" t="s">
        <v>456</v>
      </c>
      <c r="B464">
        <v>351584</v>
      </c>
      <c r="D464">
        <v>50</v>
      </c>
      <c r="G464">
        <v>98</v>
      </c>
      <c r="H464">
        <v>88</v>
      </c>
      <c r="I464" t="s">
        <v>446</v>
      </c>
      <c r="J464">
        <v>99</v>
      </c>
      <c r="K464">
        <v>82</v>
      </c>
      <c r="L464" t="str">
        <f t="shared" si="67"/>
        <v>normal</v>
      </c>
      <c r="P464" s="7">
        <v>44531</v>
      </c>
      <c r="Q464" s="7" t="s">
        <v>518</v>
      </c>
    </row>
    <row r="465" spans="1:17" hidden="1" x14ac:dyDescent="0.25">
      <c r="A465" t="s">
        <v>458</v>
      </c>
      <c r="B465">
        <v>849454</v>
      </c>
      <c r="D465">
        <v>50</v>
      </c>
      <c r="G465">
        <v>98</v>
      </c>
      <c r="H465">
        <v>80</v>
      </c>
      <c r="I465" t="s">
        <v>79</v>
      </c>
      <c r="J465">
        <v>45</v>
      </c>
      <c r="K465">
        <v>58</v>
      </c>
      <c r="P465" s="7">
        <v>44531</v>
      </c>
      <c r="Q465" s="7" t="s">
        <v>518</v>
      </c>
    </row>
    <row r="466" spans="1:17" x14ac:dyDescent="0.25">
      <c r="A466" t="s">
        <v>222</v>
      </c>
      <c r="B466">
        <v>645541</v>
      </c>
      <c r="D466">
        <v>35</v>
      </c>
      <c r="G466">
        <v>105</v>
      </c>
      <c r="H466">
        <v>84</v>
      </c>
      <c r="I466" t="s">
        <v>6</v>
      </c>
      <c r="J466">
        <v>67</v>
      </c>
      <c r="K466">
        <v>131</v>
      </c>
      <c r="L466" t="str">
        <f>IF(K466:K1464&lt;=79,"sweet",IF(K466:K1464&lt;=120,"normal",IF(K466:K1464&lt;=250,"high",IF(K466:K1464&lt;=1000,"very high"))))</f>
        <v>high</v>
      </c>
      <c r="P466" s="7">
        <v>44531</v>
      </c>
      <c r="Q466" s="7" t="s">
        <v>518</v>
      </c>
    </row>
    <row r="467" spans="1:17" hidden="1" x14ac:dyDescent="0.25">
      <c r="A467" t="s">
        <v>461</v>
      </c>
      <c r="B467">
        <v>5454513</v>
      </c>
      <c r="D467">
        <v>76</v>
      </c>
      <c r="G467">
        <v>98</v>
      </c>
      <c r="H467">
        <v>82</v>
      </c>
      <c r="I467" t="s">
        <v>43</v>
      </c>
      <c r="J467">
        <v>91</v>
      </c>
      <c r="P467" s="7" t="s">
        <v>518</v>
      </c>
      <c r="Q467" s="7" t="s">
        <v>427</v>
      </c>
    </row>
    <row r="468" spans="1:17" x14ac:dyDescent="0.25">
      <c r="A468" t="s">
        <v>462</v>
      </c>
      <c r="B468">
        <v>654513</v>
      </c>
      <c r="D468">
        <v>60</v>
      </c>
      <c r="G468">
        <v>98</v>
      </c>
      <c r="H468">
        <v>96</v>
      </c>
      <c r="I468" t="s">
        <v>62</v>
      </c>
      <c r="J468">
        <v>95</v>
      </c>
      <c r="K468">
        <v>97</v>
      </c>
      <c r="L468" t="str">
        <f>IF(K468:K1466&lt;=79,"sweet",IF(K468:K1466&lt;=120,"normal",IF(K468:K1466&lt;=250,"high",IF(K468:K1466&lt;=1000,"very high"))))</f>
        <v>normal</v>
      </c>
      <c r="P468" s="7" t="s">
        <v>518</v>
      </c>
      <c r="Q468" s="7" t="s">
        <v>427</v>
      </c>
    </row>
    <row r="469" spans="1:17" hidden="1" x14ac:dyDescent="0.25">
      <c r="A469" t="s">
        <v>463</v>
      </c>
      <c r="B469">
        <v>5449212</v>
      </c>
      <c r="D469">
        <v>29</v>
      </c>
      <c r="G469">
        <v>98</v>
      </c>
      <c r="H469">
        <v>86</v>
      </c>
      <c r="I469" t="s">
        <v>6</v>
      </c>
      <c r="J469">
        <v>85</v>
      </c>
      <c r="P469" s="7" t="s">
        <v>518</v>
      </c>
      <c r="Q469" s="7" t="s">
        <v>427</v>
      </c>
    </row>
    <row r="470" spans="1:17" hidden="1" x14ac:dyDescent="0.25">
      <c r="A470" t="s">
        <v>465</v>
      </c>
      <c r="B470">
        <v>5642178</v>
      </c>
      <c r="D470">
        <v>70</v>
      </c>
      <c r="G470">
        <v>98</v>
      </c>
      <c r="H470">
        <v>89</v>
      </c>
      <c r="I470" t="s">
        <v>96</v>
      </c>
      <c r="J470">
        <v>92</v>
      </c>
      <c r="K470">
        <v>75</v>
      </c>
      <c r="P470" s="7" t="s">
        <v>518</v>
      </c>
      <c r="Q470" s="7" t="s">
        <v>427</v>
      </c>
    </row>
    <row r="471" spans="1:17" hidden="1" x14ac:dyDescent="0.25">
      <c r="A471" t="s">
        <v>150</v>
      </c>
      <c r="B471">
        <v>656452</v>
      </c>
      <c r="D471">
        <v>55</v>
      </c>
      <c r="G471">
        <v>98</v>
      </c>
      <c r="H471">
        <v>111</v>
      </c>
      <c r="I471" t="s">
        <v>77</v>
      </c>
      <c r="O471" t="s">
        <v>967</v>
      </c>
      <c r="P471" s="7" t="s">
        <v>518</v>
      </c>
      <c r="Q471" s="7" t="s">
        <v>427</v>
      </c>
    </row>
    <row r="472" spans="1:17" x14ac:dyDescent="0.25">
      <c r="A472" t="s">
        <v>174</v>
      </c>
      <c r="B472">
        <v>545772</v>
      </c>
      <c r="D472">
        <v>60</v>
      </c>
      <c r="G472">
        <v>98</v>
      </c>
      <c r="H472">
        <v>100</v>
      </c>
      <c r="I472" t="s">
        <v>546</v>
      </c>
      <c r="J472">
        <v>62</v>
      </c>
      <c r="K472">
        <v>135</v>
      </c>
      <c r="L472" t="str">
        <f t="shared" ref="L472:L473" si="68">IF(K472:K1470&lt;=79,"sweet",IF(K472:K1470&lt;=120,"normal",IF(K472:K1470&lt;=250,"high",IF(K472:K1470&lt;=1000,"very high"))))</f>
        <v>high</v>
      </c>
      <c r="P472" s="7" t="s">
        <v>518</v>
      </c>
      <c r="Q472" s="7" t="s">
        <v>427</v>
      </c>
    </row>
    <row r="473" spans="1:17" x14ac:dyDescent="0.25">
      <c r="A473" t="s">
        <v>177</v>
      </c>
      <c r="B473">
        <v>645453</v>
      </c>
      <c r="D473">
        <v>70</v>
      </c>
      <c r="G473">
        <v>98</v>
      </c>
      <c r="H473">
        <v>78</v>
      </c>
      <c r="I473" t="s">
        <v>74</v>
      </c>
      <c r="J473">
        <v>99</v>
      </c>
      <c r="K473">
        <v>469</v>
      </c>
      <c r="L473" t="str">
        <f t="shared" si="68"/>
        <v>very high</v>
      </c>
      <c r="M473" t="s">
        <v>36</v>
      </c>
      <c r="O473" t="s">
        <v>967</v>
      </c>
      <c r="P473" s="7" t="s">
        <v>427</v>
      </c>
      <c r="Q473" s="7" t="s">
        <v>427</v>
      </c>
    </row>
    <row r="474" spans="1:17" hidden="1" x14ac:dyDescent="0.25">
      <c r="A474" t="s">
        <v>179</v>
      </c>
      <c r="B474">
        <v>7847851</v>
      </c>
      <c r="D474">
        <v>65</v>
      </c>
      <c r="G474">
        <v>99</v>
      </c>
      <c r="H474">
        <v>109</v>
      </c>
      <c r="I474" t="s">
        <v>40</v>
      </c>
      <c r="J474">
        <v>86</v>
      </c>
      <c r="P474" s="7" t="s">
        <v>427</v>
      </c>
      <c r="Q474" s="7" t="s">
        <v>427</v>
      </c>
    </row>
    <row r="475" spans="1:17" x14ac:dyDescent="0.25">
      <c r="A475" t="s">
        <v>73</v>
      </c>
      <c r="B475">
        <v>487873</v>
      </c>
      <c r="D475">
        <v>55</v>
      </c>
      <c r="G475">
        <v>98</v>
      </c>
      <c r="H475">
        <v>82</v>
      </c>
      <c r="I475" t="s">
        <v>92</v>
      </c>
      <c r="J475">
        <v>98</v>
      </c>
      <c r="K475">
        <v>521</v>
      </c>
      <c r="L475" t="str">
        <f t="shared" ref="L475:L479" si="69">IF(K475:K1473&lt;=79,"sweet",IF(K475:K1473&lt;=120,"normal",IF(K475:K1473&lt;=250,"high",IF(K475:K1473&lt;=1000,"very high"))))</f>
        <v>very high</v>
      </c>
      <c r="P475" s="7" t="s">
        <v>427</v>
      </c>
      <c r="Q475" s="7" t="s">
        <v>427</v>
      </c>
    </row>
    <row r="476" spans="1:17" x14ac:dyDescent="0.25">
      <c r="A476" t="s">
        <v>156</v>
      </c>
      <c r="B476">
        <v>5165454</v>
      </c>
      <c r="D476">
        <v>80</v>
      </c>
      <c r="G476">
        <v>98</v>
      </c>
      <c r="H476">
        <v>87</v>
      </c>
      <c r="I476" t="s">
        <v>43</v>
      </c>
      <c r="J476">
        <v>95</v>
      </c>
      <c r="K476">
        <v>309</v>
      </c>
      <c r="L476" t="str">
        <f t="shared" si="69"/>
        <v>very high</v>
      </c>
      <c r="O476" t="s">
        <v>968</v>
      </c>
      <c r="P476" s="7" t="s">
        <v>427</v>
      </c>
      <c r="Q476" s="7" t="s">
        <v>427</v>
      </c>
    </row>
    <row r="477" spans="1:17" x14ac:dyDescent="0.25">
      <c r="A477" t="s">
        <v>158</v>
      </c>
      <c r="B477">
        <v>9898874</v>
      </c>
      <c r="D477">
        <v>70</v>
      </c>
      <c r="G477">
        <v>98</v>
      </c>
      <c r="H477">
        <v>68</v>
      </c>
      <c r="I477" t="s">
        <v>53</v>
      </c>
      <c r="J477">
        <v>99</v>
      </c>
      <c r="K477">
        <v>189</v>
      </c>
      <c r="L477" t="str">
        <f t="shared" si="69"/>
        <v>high</v>
      </c>
      <c r="P477" s="7" t="s">
        <v>427</v>
      </c>
      <c r="Q477" s="7" t="s">
        <v>427</v>
      </c>
    </row>
    <row r="478" spans="1:17" x14ac:dyDescent="0.25">
      <c r="A478" t="s">
        <v>137</v>
      </c>
      <c r="B478">
        <v>6165646</v>
      </c>
      <c r="D478">
        <v>23</v>
      </c>
      <c r="G478">
        <v>99</v>
      </c>
      <c r="H478">
        <v>66</v>
      </c>
      <c r="I478" t="s">
        <v>47</v>
      </c>
      <c r="J478">
        <v>85</v>
      </c>
      <c r="K478">
        <v>455</v>
      </c>
      <c r="L478" t="str">
        <f t="shared" si="69"/>
        <v>very high</v>
      </c>
      <c r="O478" t="s">
        <v>967</v>
      </c>
      <c r="P478" s="7" t="s">
        <v>427</v>
      </c>
      <c r="Q478" s="7" t="s">
        <v>427</v>
      </c>
    </row>
    <row r="479" spans="1:17" x14ac:dyDescent="0.25">
      <c r="A479" t="s">
        <v>483</v>
      </c>
      <c r="B479">
        <v>6464654</v>
      </c>
      <c r="D479">
        <v>30</v>
      </c>
      <c r="G479">
        <v>98</v>
      </c>
      <c r="H479">
        <v>78</v>
      </c>
      <c r="I479" t="s">
        <v>49</v>
      </c>
      <c r="J479">
        <v>99</v>
      </c>
      <c r="K479">
        <v>335</v>
      </c>
      <c r="L479" t="str">
        <f t="shared" si="69"/>
        <v>very high</v>
      </c>
      <c r="O479" t="s">
        <v>967</v>
      </c>
      <c r="P479" s="7" t="s">
        <v>427</v>
      </c>
      <c r="Q479" s="7" t="s">
        <v>427</v>
      </c>
    </row>
    <row r="480" spans="1:17" hidden="1" x14ac:dyDescent="0.25">
      <c r="A480" t="s">
        <v>134</v>
      </c>
      <c r="B480">
        <v>1545654</v>
      </c>
      <c r="D480">
        <v>40</v>
      </c>
      <c r="G480">
        <v>98</v>
      </c>
      <c r="H480">
        <v>66</v>
      </c>
      <c r="I480" t="s">
        <v>43</v>
      </c>
      <c r="J480">
        <v>70</v>
      </c>
      <c r="P480" s="7" t="s">
        <v>427</v>
      </c>
      <c r="Q480" s="7" t="s">
        <v>427</v>
      </c>
    </row>
    <row r="481" spans="1:17" x14ac:dyDescent="0.25">
      <c r="A481" t="s">
        <v>484</v>
      </c>
      <c r="B481">
        <v>4464877</v>
      </c>
      <c r="D481">
        <v>35</v>
      </c>
      <c r="G481">
        <v>98</v>
      </c>
      <c r="H481">
        <v>127</v>
      </c>
      <c r="I481" t="s">
        <v>53</v>
      </c>
      <c r="J481">
        <v>77</v>
      </c>
      <c r="K481">
        <v>439</v>
      </c>
      <c r="L481" t="str">
        <f t="shared" ref="L481:L482" si="70">IF(K481:K1479&lt;=79,"sweet",IF(K481:K1479&lt;=120,"normal",IF(K481:K1479&lt;=250,"high",IF(K481:K1479&lt;=1000,"very high"))))</f>
        <v>very high</v>
      </c>
      <c r="O481" t="s">
        <v>967</v>
      </c>
      <c r="P481" s="7" t="s">
        <v>427</v>
      </c>
      <c r="Q481" s="7" t="s">
        <v>427</v>
      </c>
    </row>
    <row r="482" spans="1:17" x14ac:dyDescent="0.25">
      <c r="A482" t="s">
        <v>485</v>
      </c>
      <c r="B482">
        <v>6411212</v>
      </c>
      <c r="D482">
        <v>50</v>
      </c>
      <c r="G482">
        <v>98</v>
      </c>
      <c r="H482">
        <v>103</v>
      </c>
      <c r="I482" t="s">
        <v>53</v>
      </c>
      <c r="J482">
        <v>58</v>
      </c>
      <c r="K482">
        <v>80</v>
      </c>
      <c r="L482" t="str">
        <f t="shared" si="70"/>
        <v>normal</v>
      </c>
      <c r="P482" s="7" t="s">
        <v>427</v>
      </c>
      <c r="Q482" s="7" t="s">
        <v>427</v>
      </c>
    </row>
    <row r="483" spans="1:17" hidden="1" x14ac:dyDescent="0.25">
      <c r="A483" t="s">
        <v>487</v>
      </c>
      <c r="B483">
        <v>5465478</v>
      </c>
      <c r="D483">
        <v>52</v>
      </c>
      <c r="G483">
        <v>98</v>
      </c>
      <c r="H483">
        <v>67</v>
      </c>
      <c r="I483" t="s">
        <v>56</v>
      </c>
      <c r="J483">
        <v>70</v>
      </c>
      <c r="P483" s="7" t="s">
        <v>427</v>
      </c>
      <c r="Q483" s="7" t="s">
        <v>428</v>
      </c>
    </row>
    <row r="484" spans="1:17" hidden="1" x14ac:dyDescent="0.25">
      <c r="A484" t="s">
        <v>488</v>
      </c>
      <c r="B484">
        <v>6456477</v>
      </c>
      <c r="D484">
        <v>50</v>
      </c>
      <c r="G484">
        <v>98</v>
      </c>
      <c r="H484">
        <v>60</v>
      </c>
      <c r="I484" t="s">
        <v>57</v>
      </c>
      <c r="K484" t="s">
        <v>5</v>
      </c>
      <c r="P484" s="7" t="s">
        <v>427</v>
      </c>
      <c r="Q484" s="7" t="s">
        <v>428</v>
      </c>
    </row>
    <row r="485" spans="1:17" x14ac:dyDescent="0.25">
      <c r="A485" t="s">
        <v>156</v>
      </c>
      <c r="B485">
        <v>4489787</v>
      </c>
      <c r="D485">
        <v>60</v>
      </c>
      <c r="G485">
        <v>98</v>
      </c>
      <c r="H485">
        <v>70</v>
      </c>
      <c r="I485" t="s">
        <v>43</v>
      </c>
      <c r="J485">
        <v>79</v>
      </c>
      <c r="K485">
        <v>255</v>
      </c>
      <c r="L485" t="str">
        <f>IF(K485:K1483&lt;=79,"sweet",IF(K485:K1483&lt;=120,"normal",IF(K485:K1483&lt;=250,"high",IF(K485:K1483&lt;=1000,"very high"))))</f>
        <v>very high</v>
      </c>
      <c r="P485" s="7" t="s">
        <v>427</v>
      </c>
      <c r="Q485" s="7" t="s">
        <v>428</v>
      </c>
    </row>
    <row r="486" spans="1:17" hidden="1" x14ac:dyDescent="0.25">
      <c r="A486" t="s">
        <v>158</v>
      </c>
      <c r="B486">
        <v>2165465</v>
      </c>
      <c r="D486">
        <v>37</v>
      </c>
      <c r="G486">
        <v>98</v>
      </c>
      <c r="H486">
        <v>100</v>
      </c>
      <c r="I486" t="s">
        <v>62</v>
      </c>
      <c r="J486">
        <v>82</v>
      </c>
      <c r="K486" t="s">
        <v>5</v>
      </c>
      <c r="P486" s="7" t="s">
        <v>427</v>
      </c>
      <c r="Q486" s="7" t="s">
        <v>428</v>
      </c>
    </row>
    <row r="487" spans="1:17" x14ac:dyDescent="0.25">
      <c r="A487" t="s">
        <v>137</v>
      </c>
      <c r="B487">
        <v>6547989</v>
      </c>
      <c r="D487">
        <v>50</v>
      </c>
      <c r="G487">
        <v>98</v>
      </c>
      <c r="H487">
        <v>54</v>
      </c>
      <c r="I487" t="s">
        <v>6</v>
      </c>
      <c r="J487">
        <v>71</v>
      </c>
      <c r="K487">
        <v>321</v>
      </c>
      <c r="L487" t="str">
        <f>IF(K487:K1485&lt;=79,"sweet",IF(K487:K1485&lt;=120,"normal",IF(K487:K1485&lt;=250,"high",IF(K487:K1485&lt;=1000,"very high"))))</f>
        <v>very high</v>
      </c>
      <c r="P487" s="7" t="s">
        <v>427</v>
      </c>
      <c r="Q487" s="7" t="s">
        <v>428</v>
      </c>
    </row>
    <row r="488" spans="1:17" hidden="1" x14ac:dyDescent="0.25">
      <c r="A488" t="s">
        <v>122</v>
      </c>
      <c r="B488">
        <v>5413354</v>
      </c>
      <c r="D488">
        <v>70</v>
      </c>
      <c r="G488">
        <v>98</v>
      </c>
      <c r="H488">
        <v>84</v>
      </c>
      <c r="I488" t="s">
        <v>66</v>
      </c>
      <c r="J488" t="s">
        <v>5</v>
      </c>
      <c r="K488" t="s">
        <v>5</v>
      </c>
      <c r="O488" t="s">
        <v>967</v>
      </c>
      <c r="P488" s="7" t="s">
        <v>427</v>
      </c>
      <c r="Q488" s="7" t="s">
        <v>428</v>
      </c>
    </row>
    <row r="489" spans="1:17" x14ac:dyDescent="0.25">
      <c r="A489" t="s">
        <v>160</v>
      </c>
      <c r="B489">
        <v>6564613</v>
      </c>
      <c r="D489">
        <v>16</v>
      </c>
      <c r="G489">
        <v>98</v>
      </c>
      <c r="H489">
        <v>65</v>
      </c>
      <c r="I489" t="s">
        <v>68</v>
      </c>
      <c r="J489">
        <v>44</v>
      </c>
      <c r="K489">
        <v>459</v>
      </c>
      <c r="L489" t="str">
        <f t="shared" ref="L489:L490" si="71">IF(K489:K1487&lt;=79,"sweet",IF(K489:K1487&lt;=120,"normal",IF(K489:K1487&lt;=250,"high",IF(K489:K1487&lt;=1000,"very high"))))</f>
        <v>very high</v>
      </c>
      <c r="P489" s="7" t="s">
        <v>428</v>
      </c>
      <c r="Q489" s="7" t="s">
        <v>428</v>
      </c>
    </row>
    <row r="490" spans="1:17" x14ac:dyDescent="0.25">
      <c r="A490" t="s">
        <v>163</v>
      </c>
      <c r="B490">
        <v>5456391</v>
      </c>
      <c r="D490">
        <v>50</v>
      </c>
      <c r="G490">
        <v>98</v>
      </c>
      <c r="H490">
        <v>95</v>
      </c>
      <c r="I490" t="s">
        <v>53</v>
      </c>
      <c r="J490">
        <v>34</v>
      </c>
      <c r="K490">
        <v>104</v>
      </c>
      <c r="L490" t="str">
        <f t="shared" si="71"/>
        <v>normal</v>
      </c>
      <c r="N490" t="s">
        <v>976</v>
      </c>
      <c r="P490" s="7" t="s">
        <v>428</v>
      </c>
      <c r="Q490" s="7" t="s">
        <v>428</v>
      </c>
    </row>
    <row r="491" spans="1:17" hidden="1" x14ac:dyDescent="0.25">
      <c r="A491" t="s">
        <v>164</v>
      </c>
      <c r="B491">
        <v>5796255</v>
      </c>
      <c r="D491">
        <v>50</v>
      </c>
      <c r="G491">
        <v>98</v>
      </c>
      <c r="H491">
        <v>90</v>
      </c>
      <c r="I491" t="s">
        <v>74</v>
      </c>
      <c r="J491">
        <v>88</v>
      </c>
      <c r="K491">
        <v>34</v>
      </c>
      <c r="M491" t="s">
        <v>969</v>
      </c>
      <c r="P491" s="7" t="s">
        <v>428</v>
      </c>
      <c r="Q491" s="7" t="s">
        <v>428</v>
      </c>
    </row>
    <row r="492" spans="1:17" x14ac:dyDescent="0.25">
      <c r="A492" t="s">
        <v>165</v>
      </c>
      <c r="B492">
        <v>8955652</v>
      </c>
      <c r="D492">
        <v>35</v>
      </c>
      <c r="G492">
        <v>98</v>
      </c>
      <c r="H492">
        <v>90</v>
      </c>
      <c r="I492" t="s">
        <v>161</v>
      </c>
      <c r="J492">
        <v>83</v>
      </c>
      <c r="K492">
        <v>201</v>
      </c>
      <c r="L492" t="str">
        <f>IF(K492:K1490&lt;=79,"sweet",IF(K492:K1490&lt;=120,"normal",IF(K492:K1490&lt;=250,"high",IF(K492:K1490&lt;=1000,"very high"))))</f>
        <v>high</v>
      </c>
      <c r="P492" s="7" t="s">
        <v>428</v>
      </c>
      <c r="Q492" s="7" t="s">
        <v>428</v>
      </c>
    </row>
    <row r="493" spans="1:17" hidden="1" x14ac:dyDescent="0.25">
      <c r="A493" t="s">
        <v>166</v>
      </c>
      <c r="B493">
        <v>6896965</v>
      </c>
      <c r="D493">
        <v>76</v>
      </c>
      <c r="G493">
        <v>99</v>
      </c>
      <c r="H493">
        <v>40</v>
      </c>
      <c r="I493" t="s">
        <v>262</v>
      </c>
      <c r="J493">
        <v>95</v>
      </c>
      <c r="O493" t="s">
        <v>968</v>
      </c>
      <c r="P493" s="7" t="s">
        <v>428</v>
      </c>
      <c r="Q493" s="7" t="s">
        <v>428</v>
      </c>
    </row>
    <row r="494" spans="1:17" x14ac:dyDescent="0.25">
      <c r="A494" t="s">
        <v>168</v>
      </c>
      <c r="B494">
        <v>9989826</v>
      </c>
      <c r="D494">
        <v>60</v>
      </c>
      <c r="G494">
        <v>98</v>
      </c>
      <c r="H494">
        <v>122</v>
      </c>
      <c r="I494" t="s">
        <v>260</v>
      </c>
      <c r="J494">
        <v>89</v>
      </c>
      <c r="K494">
        <v>455</v>
      </c>
      <c r="L494" t="str">
        <f>IF(K494:K1492&lt;=79,"sweet",IF(K494:K1492&lt;=120,"normal",IF(K494:K1492&lt;=250,"high",IF(K494:K1492&lt;=1000,"very high"))))</f>
        <v>very high</v>
      </c>
      <c r="P494" s="7" t="s">
        <v>428</v>
      </c>
      <c r="Q494" s="7" t="s">
        <v>428</v>
      </c>
    </row>
    <row r="495" spans="1:17" hidden="1" x14ac:dyDescent="0.25">
      <c r="A495" t="s">
        <v>169</v>
      </c>
      <c r="B495">
        <v>8555266</v>
      </c>
      <c r="D495">
        <v>29</v>
      </c>
      <c r="G495">
        <v>98</v>
      </c>
      <c r="H495">
        <v>96</v>
      </c>
      <c r="I495" t="s">
        <v>548</v>
      </c>
      <c r="J495">
        <v>99</v>
      </c>
      <c r="K495" t="s">
        <v>5</v>
      </c>
      <c r="P495" s="7" t="s">
        <v>428</v>
      </c>
      <c r="Q495" s="7" t="s">
        <v>428</v>
      </c>
    </row>
    <row r="496" spans="1:17" hidden="1" x14ac:dyDescent="0.25">
      <c r="A496" t="s">
        <v>13</v>
      </c>
      <c r="B496">
        <v>6477642</v>
      </c>
      <c r="D496">
        <v>16</v>
      </c>
      <c r="G496">
        <v>98</v>
      </c>
      <c r="H496">
        <v>90</v>
      </c>
      <c r="I496" t="s">
        <v>304</v>
      </c>
      <c r="J496">
        <v>81</v>
      </c>
      <c r="K496">
        <v>79</v>
      </c>
      <c r="P496" s="7" t="s">
        <v>428</v>
      </c>
      <c r="Q496" s="7" t="s">
        <v>428</v>
      </c>
    </row>
    <row r="497" spans="1:17" hidden="1" x14ac:dyDescent="0.25">
      <c r="A497" t="s">
        <v>15</v>
      </c>
      <c r="B497">
        <v>5689892</v>
      </c>
      <c r="D497">
        <v>18</v>
      </c>
      <c r="G497">
        <v>100</v>
      </c>
      <c r="H497">
        <v>144</v>
      </c>
      <c r="I497" t="s">
        <v>322</v>
      </c>
      <c r="J497">
        <v>99</v>
      </c>
      <c r="P497" s="7" t="s">
        <v>428</v>
      </c>
      <c r="Q497" s="7" t="s">
        <v>441</v>
      </c>
    </row>
    <row r="498" spans="1:17" x14ac:dyDescent="0.25">
      <c r="A498" t="s">
        <v>17</v>
      </c>
      <c r="B498">
        <v>668798</v>
      </c>
      <c r="D498">
        <v>35</v>
      </c>
      <c r="G498">
        <v>98</v>
      </c>
      <c r="H498">
        <v>100</v>
      </c>
      <c r="I498" t="s">
        <v>547</v>
      </c>
      <c r="J498">
        <v>96</v>
      </c>
      <c r="K498">
        <v>99</v>
      </c>
      <c r="L498" t="str">
        <f t="shared" ref="L498:L499" si="72">IF(K498:K1496&lt;=79,"sweet",IF(K498:K1496&lt;=120,"normal",IF(K498:K1496&lt;=250,"high",IF(K498:K1496&lt;=1000,"very high"))))</f>
        <v>normal</v>
      </c>
      <c r="P498" s="7" t="s">
        <v>428</v>
      </c>
      <c r="Q498" s="7" t="s">
        <v>441</v>
      </c>
    </row>
    <row r="499" spans="1:17" x14ac:dyDescent="0.25">
      <c r="A499" t="s">
        <v>20</v>
      </c>
      <c r="B499">
        <v>8989892</v>
      </c>
      <c r="D499">
        <v>50</v>
      </c>
      <c r="G499">
        <v>102</v>
      </c>
      <c r="H499">
        <v>123</v>
      </c>
      <c r="I499" t="s">
        <v>77</v>
      </c>
      <c r="J499">
        <v>97</v>
      </c>
      <c r="K499">
        <v>86</v>
      </c>
      <c r="L499" t="str">
        <f t="shared" si="72"/>
        <v>normal</v>
      </c>
      <c r="P499" s="7" t="s">
        <v>428</v>
      </c>
      <c r="Q499" s="7" t="s">
        <v>441</v>
      </c>
    </row>
    <row r="500" spans="1:17" hidden="1" x14ac:dyDescent="0.25">
      <c r="A500" t="s">
        <v>190</v>
      </c>
      <c r="B500">
        <v>7979892</v>
      </c>
      <c r="D500">
        <v>83</v>
      </c>
      <c r="G500">
        <v>98</v>
      </c>
      <c r="H500">
        <v>112</v>
      </c>
      <c r="I500" t="s">
        <v>31</v>
      </c>
      <c r="J500">
        <v>99</v>
      </c>
      <c r="K500">
        <v>64</v>
      </c>
      <c r="P500" s="7" t="s">
        <v>428</v>
      </c>
      <c r="Q500" s="7" t="s">
        <v>441</v>
      </c>
    </row>
    <row r="501" spans="1:17" x14ac:dyDescent="0.25">
      <c r="A501" t="s">
        <v>549</v>
      </c>
      <c r="B501">
        <v>1126097</v>
      </c>
      <c r="D501">
        <v>50</v>
      </c>
      <c r="G501">
        <v>98</v>
      </c>
      <c r="H501">
        <v>120</v>
      </c>
      <c r="I501" t="s">
        <v>581</v>
      </c>
      <c r="J501">
        <v>99</v>
      </c>
      <c r="K501">
        <v>146</v>
      </c>
      <c r="L501" t="str">
        <f>IF(K501:K1499&lt;=79,"sweet",IF(K501:K1499&lt;=120,"normal",IF(K501:K1499&lt;=250,"high",IF(K501:K1499&lt;=1000,"very high"))))</f>
        <v>high</v>
      </c>
      <c r="P501" s="7" t="s">
        <v>550</v>
      </c>
      <c r="Q501" s="7" t="s">
        <v>550</v>
      </c>
    </row>
    <row r="502" spans="1:17" hidden="1" x14ac:dyDescent="0.25">
      <c r="A502" t="s">
        <v>551</v>
      </c>
      <c r="B502">
        <v>1122337</v>
      </c>
      <c r="D502">
        <v>40</v>
      </c>
      <c r="G502">
        <v>100</v>
      </c>
      <c r="H502">
        <v>109</v>
      </c>
      <c r="I502" t="s">
        <v>553</v>
      </c>
      <c r="J502">
        <v>100</v>
      </c>
      <c r="P502" s="7" t="s">
        <v>552</v>
      </c>
      <c r="Q502" s="7" t="s">
        <v>552</v>
      </c>
    </row>
    <row r="503" spans="1:17" x14ac:dyDescent="0.25">
      <c r="A503" t="s">
        <v>554</v>
      </c>
      <c r="B503">
        <v>1122668</v>
      </c>
      <c r="D503">
        <v>71</v>
      </c>
      <c r="G503">
        <v>98</v>
      </c>
      <c r="H503">
        <v>114</v>
      </c>
      <c r="I503" t="s">
        <v>555</v>
      </c>
      <c r="J503">
        <v>79</v>
      </c>
      <c r="K503">
        <v>159</v>
      </c>
      <c r="L503" t="str">
        <f>IF(K503:K1501&lt;=79,"sweet",IF(K503:K1501&lt;=120,"normal",IF(K503:K1501&lt;=250,"high",IF(K503:K1501&lt;=1000,"very high"))))</f>
        <v>high</v>
      </c>
      <c r="P503" s="7" t="s">
        <v>552</v>
      </c>
      <c r="Q503" s="7" t="s">
        <v>550</v>
      </c>
    </row>
    <row r="504" spans="1:17" hidden="1" x14ac:dyDescent="0.25">
      <c r="A504" t="s">
        <v>251</v>
      </c>
      <c r="B504">
        <v>1127372</v>
      </c>
      <c r="C504" t="s">
        <v>556</v>
      </c>
      <c r="D504">
        <v>55</v>
      </c>
      <c r="G504">
        <v>98</v>
      </c>
      <c r="H504">
        <v>79</v>
      </c>
      <c r="I504" t="s">
        <v>62</v>
      </c>
      <c r="K504">
        <v>56</v>
      </c>
      <c r="O504" t="s">
        <v>967</v>
      </c>
      <c r="P504" s="7" t="s">
        <v>550</v>
      </c>
      <c r="Q504" s="7" t="s">
        <v>550</v>
      </c>
    </row>
    <row r="505" spans="1:17" hidden="1" x14ac:dyDescent="0.25">
      <c r="A505" t="s">
        <v>557</v>
      </c>
      <c r="B505">
        <v>3127325</v>
      </c>
      <c r="D505">
        <v>45</v>
      </c>
      <c r="G505">
        <v>98</v>
      </c>
      <c r="H505">
        <v>80</v>
      </c>
      <c r="I505" t="s">
        <v>558</v>
      </c>
      <c r="O505" t="s">
        <v>967</v>
      </c>
      <c r="P505" s="7" t="s">
        <v>550</v>
      </c>
      <c r="Q505" s="7" t="s">
        <v>550</v>
      </c>
    </row>
    <row r="506" spans="1:17" hidden="1" x14ac:dyDescent="0.25">
      <c r="A506" t="s">
        <v>559</v>
      </c>
      <c r="B506">
        <v>919860</v>
      </c>
      <c r="D506">
        <v>50</v>
      </c>
      <c r="G506">
        <v>98</v>
      </c>
      <c r="H506">
        <v>110</v>
      </c>
      <c r="I506" t="s">
        <v>560</v>
      </c>
      <c r="J506">
        <v>95</v>
      </c>
      <c r="P506" s="7" t="s">
        <v>550</v>
      </c>
      <c r="Q506" s="7" t="s">
        <v>571</v>
      </c>
    </row>
    <row r="507" spans="1:17" hidden="1" x14ac:dyDescent="0.25">
      <c r="A507" t="s">
        <v>561</v>
      </c>
      <c r="B507">
        <v>1127287</v>
      </c>
      <c r="D507">
        <v>71</v>
      </c>
      <c r="G507">
        <v>98</v>
      </c>
      <c r="P507" s="7" t="s">
        <v>550</v>
      </c>
      <c r="Q507" s="7" t="s">
        <v>571</v>
      </c>
    </row>
    <row r="508" spans="1:17" hidden="1" x14ac:dyDescent="0.25">
      <c r="A508" t="s">
        <v>562</v>
      </c>
      <c r="B508">
        <v>1128642</v>
      </c>
      <c r="D508">
        <v>45</v>
      </c>
      <c r="G508">
        <v>98</v>
      </c>
      <c r="H508">
        <v>78</v>
      </c>
      <c r="I508" t="s">
        <v>563</v>
      </c>
      <c r="J508">
        <v>98</v>
      </c>
      <c r="P508" s="7" t="s">
        <v>571</v>
      </c>
      <c r="Q508" s="7" t="s">
        <v>571</v>
      </c>
    </row>
    <row r="509" spans="1:17" hidden="1" x14ac:dyDescent="0.25">
      <c r="A509" t="s">
        <v>564</v>
      </c>
      <c r="B509">
        <v>118383</v>
      </c>
      <c r="D509">
        <v>63</v>
      </c>
      <c r="G509">
        <v>98</v>
      </c>
      <c r="H509">
        <v>34</v>
      </c>
      <c r="I509" t="s">
        <v>565</v>
      </c>
      <c r="K509">
        <v>60</v>
      </c>
      <c r="P509" s="7" t="s">
        <v>571</v>
      </c>
      <c r="Q509" s="7" t="s">
        <v>571</v>
      </c>
    </row>
    <row r="510" spans="1:17" hidden="1" x14ac:dyDescent="0.25">
      <c r="A510" t="s">
        <v>566</v>
      </c>
      <c r="B510">
        <v>1130953</v>
      </c>
      <c r="D510">
        <v>125</v>
      </c>
      <c r="G510">
        <v>98</v>
      </c>
      <c r="H510">
        <v>80</v>
      </c>
      <c r="O510" t="s">
        <v>977</v>
      </c>
      <c r="P510" s="7" t="s">
        <v>571</v>
      </c>
      <c r="Q510" s="7" t="s">
        <v>571</v>
      </c>
    </row>
    <row r="511" spans="1:17" hidden="1" x14ac:dyDescent="0.25">
      <c r="A511" t="s">
        <v>567</v>
      </c>
      <c r="B511">
        <v>1131936</v>
      </c>
      <c r="D511">
        <v>25</v>
      </c>
      <c r="G511">
        <v>98</v>
      </c>
      <c r="I511" t="s">
        <v>568</v>
      </c>
      <c r="P511" s="7" t="s">
        <v>571</v>
      </c>
      <c r="Q511" s="7" t="s">
        <v>571</v>
      </c>
    </row>
    <row r="512" spans="1:17" x14ac:dyDescent="0.25">
      <c r="A512" t="s">
        <v>569</v>
      </c>
      <c r="B512">
        <v>41181214</v>
      </c>
      <c r="D512">
        <v>50</v>
      </c>
      <c r="G512">
        <v>98</v>
      </c>
      <c r="H512">
        <v>79</v>
      </c>
      <c r="I512" t="s">
        <v>332</v>
      </c>
      <c r="J512">
        <v>99</v>
      </c>
      <c r="K512">
        <v>288</v>
      </c>
      <c r="L512" t="str">
        <f>IF(K512:K1510&lt;=79,"sweet",IF(K512:K1510&lt;=120,"normal",IF(K512:K1510&lt;=250,"high",IF(K512:K1510&lt;=1000,"very high"))))</f>
        <v>very high</v>
      </c>
      <c r="O512" t="s">
        <v>967</v>
      </c>
      <c r="P512" s="7" t="s">
        <v>571</v>
      </c>
      <c r="Q512" s="7" t="s">
        <v>571</v>
      </c>
    </row>
    <row r="513" spans="1:17" hidden="1" x14ac:dyDescent="0.25">
      <c r="A513" t="s">
        <v>570</v>
      </c>
      <c r="B513">
        <v>1132678</v>
      </c>
      <c r="D513">
        <v>50</v>
      </c>
      <c r="G513">
        <v>98</v>
      </c>
      <c r="J513">
        <v>70</v>
      </c>
      <c r="P513" s="7" t="s">
        <v>572</v>
      </c>
      <c r="Q513" s="7" t="s">
        <v>572</v>
      </c>
    </row>
    <row r="514" spans="1:17" hidden="1" x14ac:dyDescent="0.25">
      <c r="A514" t="s">
        <v>573</v>
      </c>
      <c r="B514">
        <v>1132453</v>
      </c>
      <c r="D514">
        <v>55</v>
      </c>
      <c r="G514">
        <v>98</v>
      </c>
      <c r="O514" t="s">
        <v>967</v>
      </c>
      <c r="P514" s="7" t="s">
        <v>572</v>
      </c>
      <c r="Q514" s="7" t="s">
        <v>572</v>
      </c>
    </row>
    <row r="515" spans="1:17" hidden="1" x14ac:dyDescent="0.25">
      <c r="A515" t="s">
        <v>574</v>
      </c>
      <c r="B515">
        <v>1131360</v>
      </c>
      <c r="D515">
        <v>65</v>
      </c>
      <c r="G515">
        <v>98</v>
      </c>
      <c r="H515">
        <v>100</v>
      </c>
      <c r="I515" t="s">
        <v>161</v>
      </c>
      <c r="P515" s="7" t="s">
        <v>571</v>
      </c>
      <c r="Q515" s="7" t="s">
        <v>572</v>
      </c>
    </row>
    <row r="516" spans="1:17" hidden="1" x14ac:dyDescent="0.25">
      <c r="A516" t="s">
        <v>576</v>
      </c>
      <c r="B516">
        <v>396867</v>
      </c>
      <c r="D516">
        <v>36</v>
      </c>
      <c r="G516">
        <v>103</v>
      </c>
      <c r="H516">
        <v>111</v>
      </c>
      <c r="I516" t="s">
        <v>575</v>
      </c>
      <c r="J516">
        <v>100</v>
      </c>
      <c r="N516" t="s">
        <v>973</v>
      </c>
      <c r="P516" s="7" t="s">
        <v>572</v>
      </c>
      <c r="Q516" s="7" t="s">
        <v>572</v>
      </c>
    </row>
    <row r="517" spans="1:17" x14ac:dyDescent="0.25">
      <c r="A517" t="s">
        <v>577</v>
      </c>
      <c r="B517">
        <v>1136570</v>
      </c>
      <c r="D517">
        <v>50</v>
      </c>
      <c r="G517">
        <v>98</v>
      </c>
      <c r="H517">
        <v>80</v>
      </c>
      <c r="I517" t="s">
        <v>578</v>
      </c>
      <c r="J517">
        <v>91</v>
      </c>
      <c r="K517">
        <v>207</v>
      </c>
      <c r="L517" t="str">
        <f>IF(K517:K1515&lt;=79,"sweet",IF(K517:K1515&lt;=120,"normal",IF(K517:K1515&lt;=250,"high",IF(K517:K1515&lt;=1000,"very high"))))</f>
        <v>high</v>
      </c>
      <c r="P517" s="7" t="s">
        <v>572</v>
      </c>
      <c r="Q517" s="7" t="s">
        <v>572</v>
      </c>
    </row>
    <row r="518" spans="1:17" hidden="1" x14ac:dyDescent="0.25">
      <c r="A518" t="s">
        <v>386</v>
      </c>
      <c r="B518">
        <v>1132667</v>
      </c>
      <c r="D518">
        <v>26</v>
      </c>
      <c r="G518">
        <v>98</v>
      </c>
      <c r="H518">
        <v>90</v>
      </c>
      <c r="I518" s="3" t="s">
        <v>611</v>
      </c>
      <c r="P518" s="7" t="s">
        <v>572</v>
      </c>
      <c r="Q518" s="7" t="s">
        <v>579</v>
      </c>
    </row>
    <row r="519" spans="1:17" x14ac:dyDescent="0.25">
      <c r="A519" t="s">
        <v>580</v>
      </c>
      <c r="B519">
        <v>1138840</v>
      </c>
      <c r="C519" t="s">
        <v>582</v>
      </c>
      <c r="D519">
        <v>55</v>
      </c>
      <c r="G519">
        <v>98</v>
      </c>
      <c r="H519">
        <v>77</v>
      </c>
      <c r="I519" t="s">
        <v>581</v>
      </c>
      <c r="J519">
        <v>95</v>
      </c>
      <c r="K519">
        <v>240</v>
      </c>
      <c r="L519" t="str">
        <f>IF(K519:K1517&lt;=79,"sweet",IF(K519:K1517&lt;=120,"normal",IF(K519:K1517&lt;=250,"high",IF(K519:K1517&lt;=1000,"very high"))))</f>
        <v>high</v>
      </c>
      <c r="P519" s="7" t="s">
        <v>579</v>
      </c>
      <c r="Q519" s="7" t="s">
        <v>579</v>
      </c>
    </row>
    <row r="520" spans="1:17" hidden="1" x14ac:dyDescent="0.25">
      <c r="A520" t="s">
        <v>453</v>
      </c>
      <c r="B520">
        <v>1140108</v>
      </c>
      <c r="D520">
        <v>50</v>
      </c>
      <c r="G520">
        <v>98</v>
      </c>
      <c r="H520">
        <v>112</v>
      </c>
      <c r="I520" t="s">
        <v>260</v>
      </c>
      <c r="J520">
        <v>100</v>
      </c>
      <c r="K520">
        <v>27</v>
      </c>
      <c r="P520" s="7" t="s">
        <v>579</v>
      </c>
      <c r="Q520" s="7" t="s">
        <v>579</v>
      </c>
    </row>
    <row r="521" spans="1:17" hidden="1" x14ac:dyDescent="0.25">
      <c r="A521" t="s">
        <v>583</v>
      </c>
      <c r="B521">
        <v>1139762</v>
      </c>
      <c r="D521">
        <v>70</v>
      </c>
      <c r="G521">
        <v>98</v>
      </c>
      <c r="H521">
        <v>130</v>
      </c>
      <c r="I521" t="s">
        <v>584</v>
      </c>
      <c r="P521" s="7" t="s">
        <v>579</v>
      </c>
      <c r="Q521" s="7" t="s">
        <v>579</v>
      </c>
    </row>
    <row r="522" spans="1:17" hidden="1" x14ac:dyDescent="0.25">
      <c r="A522" t="s">
        <v>585</v>
      </c>
      <c r="B522">
        <v>1139756</v>
      </c>
      <c r="D522">
        <v>60</v>
      </c>
      <c r="G522">
        <v>98</v>
      </c>
      <c r="H522">
        <v>140</v>
      </c>
      <c r="I522" t="s">
        <v>260</v>
      </c>
      <c r="J522">
        <v>90</v>
      </c>
      <c r="P522" s="7" t="s">
        <v>579</v>
      </c>
      <c r="Q522" s="7" t="s">
        <v>579</v>
      </c>
    </row>
    <row r="523" spans="1:17" x14ac:dyDescent="0.25">
      <c r="A523" t="s">
        <v>586</v>
      </c>
      <c r="B523">
        <v>1140039</v>
      </c>
      <c r="D523">
        <v>14</v>
      </c>
      <c r="G523">
        <v>98</v>
      </c>
      <c r="H523">
        <v>98</v>
      </c>
      <c r="I523" t="s">
        <v>587</v>
      </c>
      <c r="J523">
        <v>86</v>
      </c>
      <c r="K523">
        <v>135</v>
      </c>
      <c r="L523" t="str">
        <f t="shared" ref="L523:L524" si="73">IF(K523:K1521&lt;=79,"sweet",IF(K523:K1521&lt;=120,"normal",IF(K523:K1521&lt;=250,"high",IF(K523:K1521&lt;=1000,"very high"))))</f>
        <v>high</v>
      </c>
      <c r="P523" s="7" t="s">
        <v>579</v>
      </c>
      <c r="Q523" s="7" t="s">
        <v>112</v>
      </c>
    </row>
    <row r="524" spans="1:17" x14ac:dyDescent="0.25">
      <c r="A524" t="s">
        <v>588</v>
      </c>
      <c r="B524">
        <v>1140345</v>
      </c>
      <c r="D524">
        <v>50</v>
      </c>
      <c r="G524">
        <v>98</v>
      </c>
      <c r="H524">
        <v>108</v>
      </c>
      <c r="I524" t="s">
        <v>77</v>
      </c>
      <c r="J524">
        <v>98</v>
      </c>
      <c r="K524">
        <v>568</v>
      </c>
      <c r="L524" t="str">
        <f t="shared" si="73"/>
        <v>very high</v>
      </c>
      <c r="P524" s="7" t="s">
        <v>579</v>
      </c>
      <c r="Q524" s="7" t="s">
        <v>579</v>
      </c>
    </row>
    <row r="525" spans="1:17" hidden="1" x14ac:dyDescent="0.25">
      <c r="A525" t="s">
        <v>404</v>
      </c>
      <c r="B525">
        <v>1134344</v>
      </c>
      <c r="D525">
        <v>17</v>
      </c>
      <c r="G525">
        <v>98</v>
      </c>
      <c r="H525">
        <v>100</v>
      </c>
      <c r="I525" t="s">
        <v>47</v>
      </c>
      <c r="J525">
        <v>96</v>
      </c>
      <c r="P525" s="7" t="s">
        <v>579</v>
      </c>
      <c r="Q525" s="7" t="s">
        <v>579</v>
      </c>
    </row>
    <row r="526" spans="1:17" x14ac:dyDescent="0.25">
      <c r="A526" t="s">
        <v>589</v>
      </c>
      <c r="B526">
        <v>1136709</v>
      </c>
      <c r="D526">
        <v>60</v>
      </c>
      <c r="G526">
        <v>98</v>
      </c>
      <c r="H526">
        <v>133</v>
      </c>
      <c r="I526" t="s">
        <v>590</v>
      </c>
      <c r="J526">
        <v>90</v>
      </c>
      <c r="K526">
        <v>125</v>
      </c>
      <c r="L526" t="str">
        <f t="shared" ref="L526:L533" si="74">IF(K526:K1524&lt;=79,"sweet",IF(K526:K1524&lt;=120,"normal",IF(K526:K1524&lt;=250,"high",IF(K526:K1524&lt;=1000,"very high"))))</f>
        <v>high</v>
      </c>
      <c r="P526" s="7" t="s">
        <v>579</v>
      </c>
      <c r="Q526" s="7" t="s">
        <v>579</v>
      </c>
    </row>
    <row r="527" spans="1:17" x14ac:dyDescent="0.25">
      <c r="A527" t="s">
        <v>514</v>
      </c>
      <c r="B527">
        <v>1141884</v>
      </c>
      <c r="D527">
        <v>30</v>
      </c>
      <c r="G527">
        <v>98</v>
      </c>
      <c r="H527">
        <v>115</v>
      </c>
      <c r="I527" t="s">
        <v>591</v>
      </c>
      <c r="J527">
        <v>100</v>
      </c>
      <c r="K527">
        <v>278</v>
      </c>
      <c r="L527" t="str">
        <f t="shared" si="74"/>
        <v>very high</v>
      </c>
      <c r="P527" s="7" t="s">
        <v>592</v>
      </c>
      <c r="Q527" s="7" t="s">
        <v>593</v>
      </c>
    </row>
    <row r="528" spans="1:17" x14ac:dyDescent="0.25">
      <c r="A528" t="s">
        <v>594</v>
      </c>
      <c r="B528">
        <v>1140441</v>
      </c>
      <c r="D528">
        <v>75</v>
      </c>
      <c r="G528">
        <v>98</v>
      </c>
      <c r="H528">
        <v>110</v>
      </c>
      <c r="I528" t="s">
        <v>6</v>
      </c>
      <c r="J528">
        <v>98</v>
      </c>
      <c r="K528">
        <v>181</v>
      </c>
      <c r="L528" t="str">
        <f t="shared" si="74"/>
        <v>high</v>
      </c>
      <c r="P528" s="7" t="s">
        <v>592</v>
      </c>
      <c r="Q528" s="7" t="s">
        <v>593</v>
      </c>
    </row>
    <row r="529" spans="1:17" x14ac:dyDescent="0.25">
      <c r="A529" t="s">
        <v>595</v>
      </c>
      <c r="B529">
        <v>1144905</v>
      </c>
      <c r="C529" t="s">
        <v>596</v>
      </c>
      <c r="D529">
        <v>20</v>
      </c>
      <c r="G529">
        <v>98</v>
      </c>
      <c r="H529">
        <v>57</v>
      </c>
      <c r="I529" t="s">
        <v>53</v>
      </c>
      <c r="J529">
        <v>71</v>
      </c>
      <c r="K529">
        <v>140</v>
      </c>
      <c r="L529" t="str">
        <f t="shared" si="74"/>
        <v>high</v>
      </c>
      <c r="P529" s="7" t="s">
        <v>593</v>
      </c>
      <c r="Q529" s="7" t="s">
        <v>593</v>
      </c>
    </row>
    <row r="530" spans="1:17" x14ac:dyDescent="0.25">
      <c r="A530" t="s">
        <v>309</v>
      </c>
      <c r="B530">
        <v>1146524</v>
      </c>
      <c r="D530">
        <v>27</v>
      </c>
      <c r="G530">
        <v>98</v>
      </c>
      <c r="H530">
        <v>95</v>
      </c>
      <c r="I530" t="s">
        <v>47</v>
      </c>
      <c r="J530">
        <v>96</v>
      </c>
      <c r="K530">
        <v>116</v>
      </c>
      <c r="L530" t="str">
        <f t="shared" si="74"/>
        <v>normal</v>
      </c>
      <c r="P530" s="7" t="s">
        <v>593</v>
      </c>
      <c r="Q530" s="7" t="s">
        <v>593</v>
      </c>
    </row>
    <row r="531" spans="1:17" x14ac:dyDescent="0.25">
      <c r="A531" t="s">
        <v>597</v>
      </c>
      <c r="B531">
        <v>1146893</v>
      </c>
      <c r="D531">
        <v>86</v>
      </c>
      <c r="G531">
        <v>98</v>
      </c>
      <c r="H531">
        <v>32</v>
      </c>
      <c r="I531" t="s">
        <v>49</v>
      </c>
      <c r="J531">
        <v>99</v>
      </c>
      <c r="K531">
        <v>113</v>
      </c>
      <c r="L531" t="str">
        <f t="shared" si="74"/>
        <v>normal</v>
      </c>
      <c r="P531" s="7" t="s">
        <v>593</v>
      </c>
      <c r="Q531" s="7" t="s">
        <v>593</v>
      </c>
    </row>
    <row r="532" spans="1:17" x14ac:dyDescent="0.25">
      <c r="A532" t="s">
        <v>598</v>
      </c>
      <c r="B532">
        <v>1143935</v>
      </c>
      <c r="D532">
        <v>60</v>
      </c>
      <c r="G532">
        <v>98</v>
      </c>
      <c r="H532">
        <v>160</v>
      </c>
      <c r="I532" t="s">
        <v>94</v>
      </c>
      <c r="J532">
        <v>96</v>
      </c>
      <c r="K532">
        <v>512</v>
      </c>
      <c r="L532" t="str">
        <f t="shared" si="74"/>
        <v>very high</v>
      </c>
      <c r="M532" t="s">
        <v>36</v>
      </c>
      <c r="P532" s="7" t="s">
        <v>593</v>
      </c>
      <c r="Q532" s="7" t="s">
        <v>593</v>
      </c>
    </row>
    <row r="533" spans="1:17" x14ac:dyDescent="0.25">
      <c r="A533" t="s">
        <v>599</v>
      </c>
      <c r="B533">
        <v>1146479</v>
      </c>
      <c r="D533">
        <v>63</v>
      </c>
      <c r="G533">
        <v>98</v>
      </c>
      <c r="H533">
        <v>132</v>
      </c>
      <c r="I533" t="s">
        <v>43</v>
      </c>
      <c r="J533">
        <v>82</v>
      </c>
      <c r="K533">
        <v>148</v>
      </c>
      <c r="L533" t="str">
        <f t="shared" si="74"/>
        <v>high</v>
      </c>
      <c r="P533" s="7" t="s">
        <v>593</v>
      </c>
      <c r="Q533" s="7" t="s">
        <v>593</v>
      </c>
    </row>
    <row r="534" spans="1:17" hidden="1" x14ac:dyDescent="0.25">
      <c r="A534" t="s">
        <v>600</v>
      </c>
      <c r="B534">
        <v>1146226</v>
      </c>
      <c r="D534">
        <v>45</v>
      </c>
      <c r="G534">
        <v>98</v>
      </c>
      <c r="H534">
        <v>115</v>
      </c>
      <c r="I534" t="s">
        <v>6</v>
      </c>
      <c r="J534">
        <v>87</v>
      </c>
      <c r="K534">
        <v>45</v>
      </c>
      <c r="M534" t="s">
        <v>969</v>
      </c>
      <c r="P534" s="7" t="s">
        <v>593</v>
      </c>
      <c r="Q534" s="7" t="s">
        <v>601</v>
      </c>
    </row>
    <row r="535" spans="1:17" hidden="1" x14ac:dyDescent="0.25">
      <c r="A535" t="s">
        <v>602</v>
      </c>
      <c r="B535">
        <v>1147206</v>
      </c>
      <c r="D535">
        <v>50</v>
      </c>
      <c r="G535">
        <v>98</v>
      </c>
      <c r="H535">
        <v>45</v>
      </c>
      <c r="I535" t="s">
        <v>603</v>
      </c>
      <c r="J535">
        <v>75</v>
      </c>
      <c r="K535">
        <v>79</v>
      </c>
      <c r="P535" s="7" t="s">
        <v>593</v>
      </c>
      <c r="Q535" s="7" t="s">
        <v>601</v>
      </c>
    </row>
    <row r="536" spans="1:17" x14ac:dyDescent="0.25">
      <c r="A536" t="s">
        <v>570</v>
      </c>
      <c r="B536">
        <v>1147713</v>
      </c>
      <c r="D536">
        <v>60</v>
      </c>
      <c r="G536">
        <v>98</v>
      </c>
      <c r="H536">
        <v>102</v>
      </c>
      <c r="I536" t="s">
        <v>161</v>
      </c>
      <c r="J536">
        <v>95</v>
      </c>
      <c r="K536">
        <v>105</v>
      </c>
      <c r="L536" t="str">
        <f>IF(K536:K1534&lt;=79,"sweet",IF(K536:K1534&lt;=120,"normal",IF(K536:K1534&lt;=250,"high",IF(K536:K1534&lt;=1000,"very high"))))</f>
        <v>normal</v>
      </c>
      <c r="P536" s="7" t="s">
        <v>601</v>
      </c>
      <c r="Q536" s="7" t="s">
        <v>601</v>
      </c>
    </row>
    <row r="537" spans="1:17" hidden="1" x14ac:dyDescent="0.25">
      <c r="A537" t="s">
        <v>604</v>
      </c>
      <c r="B537">
        <v>1147556</v>
      </c>
      <c r="D537">
        <v>40</v>
      </c>
      <c r="G537">
        <v>98</v>
      </c>
      <c r="H537">
        <v>90</v>
      </c>
      <c r="I537" t="s">
        <v>25</v>
      </c>
      <c r="J537">
        <v>99</v>
      </c>
      <c r="K537">
        <v>33</v>
      </c>
      <c r="M537" t="s">
        <v>969</v>
      </c>
      <c r="P537" s="7" t="s">
        <v>593</v>
      </c>
      <c r="Q537" s="7" t="s">
        <v>601</v>
      </c>
    </row>
    <row r="538" spans="1:17" x14ac:dyDescent="0.25">
      <c r="A538" t="s">
        <v>605</v>
      </c>
      <c r="B538">
        <v>1147045</v>
      </c>
      <c r="D538">
        <v>12</v>
      </c>
      <c r="G538">
        <v>98</v>
      </c>
      <c r="H538">
        <v>140</v>
      </c>
      <c r="I538" t="s">
        <v>254</v>
      </c>
      <c r="J538">
        <v>96</v>
      </c>
      <c r="K538">
        <v>297</v>
      </c>
      <c r="L538" t="str">
        <f t="shared" ref="L538:L539" si="75">IF(K538:K1536&lt;=79,"sweet",IF(K538:K1536&lt;=120,"normal",IF(K538:K1536&lt;=250,"high",IF(K538:K1536&lt;=1000,"very high"))))</f>
        <v>very high</v>
      </c>
      <c r="P538" s="7" t="s">
        <v>601</v>
      </c>
      <c r="Q538" s="7" t="s">
        <v>601</v>
      </c>
    </row>
    <row r="539" spans="1:17" x14ac:dyDescent="0.25">
      <c r="A539" t="s">
        <v>606</v>
      </c>
      <c r="B539">
        <v>1147909</v>
      </c>
      <c r="C539" t="s">
        <v>607</v>
      </c>
      <c r="D539">
        <v>60</v>
      </c>
      <c r="G539">
        <v>98</v>
      </c>
      <c r="H539">
        <v>84</v>
      </c>
      <c r="I539" t="s">
        <v>130</v>
      </c>
      <c r="J539">
        <v>84</v>
      </c>
      <c r="K539">
        <v>215</v>
      </c>
      <c r="L539" t="str">
        <f t="shared" si="75"/>
        <v>high</v>
      </c>
      <c r="P539" s="7" t="s">
        <v>601</v>
      </c>
      <c r="Q539" s="7" t="s">
        <v>601</v>
      </c>
    </row>
    <row r="540" spans="1:17" hidden="1" x14ac:dyDescent="0.25">
      <c r="A540" t="s">
        <v>608</v>
      </c>
      <c r="B540">
        <v>1149384</v>
      </c>
      <c r="D540">
        <v>50</v>
      </c>
      <c r="G540">
        <v>98</v>
      </c>
      <c r="H540">
        <v>120</v>
      </c>
      <c r="I540" t="s">
        <v>89</v>
      </c>
      <c r="P540" s="7" t="s">
        <v>601</v>
      </c>
      <c r="Q540" s="7" t="s">
        <v>601</v>
      </c>
    </row>
    <row r="541" spans="1:17" hidden="1" x14ac:dyDescent="0.25">
      <c r="A541" t="s">
        <v>265</v>
      </c>
      <c r="B541">
        <v>1149416</v>
      </c>
      <c r="D541">
        <v>50</v>
      </c>
      <c r="G541">
        <v>98</v>
      </c>
      <c r="H541">
        <v>80</v>
      </c>
      <c r="I541" t="s">
        <v>609</v>
      </c>
      <c r="P541" s="7" t="s">
        <v>601</v>
      </c>
      <c r="Q541" s="7" t="s">
        <v>601</v>
      </c>
    </row>
    <row r="542" spans="1:17" hidden="1" x14ac:dyDescent="0.25">
      <c r="A542" t="s">
        <v>610</v>
      </c>
      <c r="B542">
        <v>1149667</v>
      </c>
      <c r="D542">
        <v>17</v>
      </c>
      <c r="G542">
        <v>98</v>
      </c>
      <c r="H542">
        <v>86</v>
      </c>
      <c r="I542" s="3" t="s">
        <v>53</v>
      </c>
      <c r="J542">
        <v>98</v>
      </c>
      <c r="P542" s="7" t="s">
        <v>601</v>
      </c>
      <c r="Q542" s="7" t="s">
        <v>601</v>
      </c>
    </row>
    <row r="543" spans="1:17" hidden="1" x14ac:dyDescent="0.25">
      <c r="A543" t="s">
        <v>370</v>
      </c>
      <c r="B543">
        <v>6936362</v>
      </c>
      <c r="D543">
        <v>65</v>
      </c>
      <c r="G543">
        <v>98</v>
      </c>
      <c r="P543" s="7" t="s">
        <v>601</v>
      </c>
      <c r="Q543" s="7" t="s">
        <v>601</v>
      </c>
    </row>
    <row r="544" spans="1:17" x14ac:dyDescent="0.25">
      <c r="A544" t="s">
        <v>519</v>
      </c>
      <c r="B544">
        <v>1165596</v>
      </c>
      <c r="D544">
        <v>36</v>
      </c>
      <c r="G544">
        <v>98</v>
      </c>
      <c r="H544">
        <v>78</v>
      </c>
      <c r="I544" t="s">
        <v>6</v>
      </c>
      <c r="J544">
        <v>55</v>
      </c>
      <c r="K544">
        <v>135</v>
      </c>
      <c r="L544" t="str">
        <f t="shared" ref="L544:L547" si="76">IF(K544:K1542&lt;=79,"sweet",IF(K544:K1542&lt;=120,"normal",IF(K544:K1542&lt;=250,"high",IF(K544:K1542&lt;=1000,"very high"))))</f>
        <v>high</v>
      </c>
      <c r="P544" s="7" t="s">
        <v>601</v>
      </c>
      <c r="Q544" s="7" t="s">
        <v>601</v>
      </c>
    </row>
    <row r="545" spans="1:17" x14ac:dyDescent="0.25">
      <c r="A545" t="s">
        <v>521</v>
      </c>
      <c r="B545">
        <v>1152633</v>
      </c>
      <c r="D545">
        <v>50</v>
      </c>
      <c r="G545">
        <v>98</v>
      </c>
      <c r="H545">
        <v>52</v>
      </c>
      <c r="I545" t="s">
        <v>62</v>
      </c>
      <c r="J545">
        <v>84</v>
      </c>
      <c r="K545">
        <v>100</v>
      </c>
      <c r="L545" t="str">
        <f t="shared" si="76"/>
        <v>normal</v>
      </c>
      <c r="P545" s="7" t="s">
        <v>601</v>
      </c>
      <c r="Q545" s="7" t="s">
        <v>601</v>
      </c>
    </row>
    <row r="546" spans="1:17" x14ac:dyDescent="0.25">
      <c r="A546" t="s">
        <v>429</v>
      </c>
      <c r="B546">
        <v>1112393</v>
      </c>
      <c r="D546">
        <v>26</v>
      </c>
      <c r="G546">
        <v>98</v>
      </c>
      <c r="H546">
        <v>94</v>
      </c>
      <c r="I546" t="s">
        <v>430</v>
      </c>
      <c r="J546">
        <v>99</v>
      </c>
      <c r="K546">
        <v>352</v>
      </c>
      <c r="L546" t="str">
        <f t="shared" si="76"/>
        <v>very high</v>
      </c>
      <c r="P546" s="7" t="s">
        <v>601</v>
      </c>
      <c r="Q546" s="7" t="s">
        <v>601</v>
      </c>
    </row>
    <row r="547" spans="1:17" x14ac:dyDescent="0.25">
      <c r="A547" t="s">
        <v>525</v>
      </c>
      <c r="B547">
        <v>1159595</v>
      </c>
      <c r="D547">
        <v>55</v>
      </c>
      <c r="G547">
        <v>98</v>
      </c>
      <c r="H547">
        <v>80</v>
      </c>
      <c r="I547" t="s">
        <v>47</v>
      </c>
      <c r="J547">
        <v>82</v>
      </c>
      <c r="K547">
        <v>120</v>
      </c>
      <c r="L547" t="str">
        <f t="shared" si="76"/>
        <v>normal</v>
      </c>
      <c r="P547" s="7" t="s">
        <v>601</v>
      </c>
      <c r="Q547" s="7" t="s">
        <v>612</v>
      </c>
    </row>
    <row r="548" spans="1:17" hidden="1" x14ac:dyDescent="0.25">
      <c r="A548" t="s">
        <v>527</v>
      </c>
      <c r="B548">
        <v>1122522</v>
      </c>
      <c r="D548">
        <v>50</v>
      </c>
      <c r="G548">
        <v>98</v>
      </c>
      <c r="H548">
        <v>80</v>
      </c>
      <c r="I548" t="s">
        <v>92</v>
      </c>
      <c r="J548">
        <v>85</v>
      </c>
      <c r="K548">
        <v>75</v>
      </c>
      <c r="P548" s="7" t="s">
        <v>601</v>
      </c>
      <c r="Q548" s="7" t="s">
        <v>612</v>
      </c>
    </row>
    <row r="549" spans="1:17" x14ac:dyDescent="0.25">
      <c r="A549" t="s">
        <v>529</v>
      </c>
      <c r="B549">
        <v>1158485</v>
      </c>
      <c r="D549">
        <v>70</v>
      </c>
      <c r="G549">
        <v>98</v>
      </c>
      <c r="H549">
        <v>139</v>
      </c>
      <c r="I549" t="s">
        <v>434</v>
      </c>
      <c r="J549">
        <v>99</v>
      </c>
      <c r="K549">
        <v>125</v>
      </c>
      <c r="L549" t="str">
        <f t="shared" ref="L549:L550" si="77">IF(K549:K1547&lt;=79,"sweet",IF(K549:K1547&lt;=120,"normal",IF(K549:K1547&lt;=250,"high",IF(K549:K1547&lt;=1000,"very high"))))</f>
        <v>high</v>
      </c>
      <c r="P549" s="7" t="s">
        <v>601</v>
      </c>
      <c r="Q549" s="7" t="s">
        <v>612</v>
      </c>
    </row>
    <row r="550" spans="1:17" x14ac:dyDescent="0.25">
      <c r="A550" t="s">
        <v>531</v>
      </c>
      <c r="B550">
        <v>1144848</v>
      </c>
      <c r="D550">
        <v>60</v>
      </c>
      <c r="G550">
        <v>98</v>
      </c>
      <c r="H550">
        <v>150</v>
      </c>
      <c r="I550" t="s">
        <v>43</v>
      </c>
      <c r="J550">
        <v>99</v>
      </c>
      <c r="K550">
        <v>276</v>
      </c>
      <c r="L550" t="str">
        <f t="shared" si="77"/>
        <v>very high</v>
      </c>
      <c r="P550" s="7" t="s">
        <v>601</v>
      </c>
      <c r="Q550" s="7" t="s">
        <v>612</v>
      </c>
    </row>
    <row r="551" spans="1:17" hidden="1" x14ac:dyDescent="0.25">
      <c r="A551" t="s">
        <v>613</v>
      </c>
      <c r="B551">
        <v>1148152</v>
      </c>
      <c r="D551">
        <v>20</v>
      </c>
      <c r="G551">
        <v>98</v>
      </c>
      <c r="H551">
        <v>150</v>
      </c>
      <c r="I551" t="s">
        <v>154</v>
      </c>
      <c r="J551">
        <v>99</v>
      </c>
      <c r="O551" t="s">
        <v>967</v>
      </c>
      <c r="P551" s="7" t="s">
        <v>601</v>
      </c>
      <c r="Q551" s="7" t="s">
        <v>612</v>
      </c>
    </row>
    <row r="552" spans="1:17" x14ac:dyDescent="0.25">
      <c r="A552" t="s">
        <v>614</v>
      </c>
      <c r="B552">
        <v>1149008</v>
      </c>
      <c r="D552">
        <v>45</v>
      </c>
      <c r="G552">
        <v>98</v>
      </c>
      <c r="H552">
        <v>111</v>
      </c>
      <c r="I552" t="s">
        <v>62</v>
      </c>
      <c r="J552">
        <v>39</v>
      </c>
      <c r="K552">
        <v>154</v>
      </c>
      <c r="L552" t="str">
        <f>IF(K552:K1550&lt;=79,"sweet",IF(K552:K1550&lt;=120,"normal",IF(K552:K1550&lt;=250,"high",IF(K552:K1550&lt;=1000,"very high"))))</f>
        <v>high</v>
      </c>
      <c r="P552" s="7" t="s">
        <v>601</v>
      </c>
      <c r="Q552" s="7" t="s">
        <v>612</v>
      </c>
    </row>
    <row r="553" spans="1:17" hidden="1" x14ac:dyDescent="0.25">
      <c r="A553" t="s">
        <v>615</v>
      </c>
      <c r="B553">
        <v>1141491</v>
      </c>
      <c r="D553">
        <v>27</v>
      </c>
      <c r="G553">
        <v>98</v>
      </c>
      <c r="H553">
        <v>101</v>
      </c>
      <c r="I553" t="s">
        <v>616</v>
      </c>
      <c r="J553">
        <v>77</v>
      </c>
      <c r="K553">
        <v>50</v>
      </c>
      <c r="N553" t="s">
        <v>976</v>
      </c>
      <c r="O553" t="s">
        <v>967</v>
      </c>
      <c r="P553" s="7" t="s">
        <v>112</v>
      </c>
      <c r="Q553" s="7" t="s">
        <v>612</v>
      </c>
    </row>
    <row r="554" spans="1:17" hidden="1" x14ac:dyDescent="0.25">
      <c r="A554" t="s">
        <v>617</v>
      </c>
      <c r="B554">
        <v>1148326</v>
      </c>
      <c r="D554">
        <v>65</v>
      </c>
      <c r="G554">
        <v>98</v>
      </c>
      <c r="H554">
        <v>119</v>
      </c>
      <c r="I554" t="s">
        <v>618</v>
      </c>
      <c r="J554">
        <v>96</v>
      </c>
      <c r="K554">
        <v>79</v>
      </c>
      <c r="P554" s="7" t="s">
        <v>601</v>
      </c>
      <c r="Q554" s="7" t="s">
        <v>612</v>
      </c>
    </row>
    <row r="555" spans="1:17" hidden="1" x14ac:dyDescent="0.25">
      <c r="A555" t="s">
        <v>619</v>
      </c>
      <c r="B555">
        <v>1153457</v>
      </c>
      <c r="D555">
        <v>76</v>
      </c>
      <c r="G555">
        <v>98</v>
      </c>
      <c r="H555">
        <v>81</v>
      </c>
      <c r="I555" t="s">
        <v>620</v>
      </c>
      <c r="J555">
        <v>85</v>
      </c>
      <c r="P555" s="7" t="s">
        <v>612</v>
      </c>
      <c r="Q555" s="7" t="s">
        <v>621</v>
      </c>
    </row>
    <row r="556" spans="1:17" hidden="1" x14ac:dyDescent="0.25">
      <c r="A556" t="s">
        <v>622</v>
      </c>
      <c r="B556">
        <v>1152441</v>
      </c>
      <c r="D556">
        <v>23</v>
      </c>
      <c r="G556">
        <v>98</v>
      </c>
      <c r="H556">
        <v>180</v>
      </c>
      <c r="I556" t="s">
        <v>623</v>
      </c>
      <c r="J556">
        <v>98</v>
      </c>
      <c r="O556" t="s">
        <v>968</v>
      </c>
      <c r="P556" s="7" t="s">
        <v>612</v>
      </c>
      <c r="Q556" s="7" t="s">
        <v>612</v>
      </c>
    </row>
    <row r="557" spans="1:17" x14ac:dyDescent="0.25">
      <c r="A557" t="s">
        <v>624</v>
      </c>
      <c r="B557">
        <v>1153876</v>
      </c>
      <c r="D557">
        <v>26</v>
      </c>
      <c r="G557">
        <v>98</v>
      </c>
      <c r="H557">
        <v>114</v>
      </c>
      <c r="I557" t="s">
        <v>625</v>
      </c>
      <c r="J557">
        <v>93</v>
      </c>
      <c r="K557">
        <v>81</v>
      </c>
      <c r="L557" t="str">
        <f t="shared" ref="L557:L560" si="78">IF(K557:K1555&lt;=79,"sweet",IF(K557:K1555&lt;=120,"normal",IF(K557:K1555&lt;=250,"high",IF(K557:K1555&lt;=1000,"very high"))))</f>
        <v>normal</v>
      </c>
      <c r="P557" s="7" t="s">
        <v>621</v>
      </c>
      <c r="Q557" s="7" t="s">
        <v>621</v>
      </c>
    </row>
    <row r="558" spans="1:17" x14ac:dyDescent="0.25">
      <c r="A558" t="s">
        <v>626</v>
      </c>
      <c r="B558">
        <v>1126093</v>
      </c>
      <c r="D558">
        <v>35</v>
      </c>
      <c r="G558">
        <v>98</v>
      </c>
      <c r="H558">
        <v>148</v>
      </c>
      <c r="I558" t="s">
        <v>627</v>
      </c>
      <c r="J558">
        <v>86</v>
      </c>
      <c r="K558">
        <v>82</v>
      </c>
      <c r="L558" t="str">
        <f t="shared" si="78"/>
        <v>normal</v>
      </c>
      <c r="O558" t="s">
        <v>967</v>
      </c>
      <c r="P558" s="7" t="s">
        <v>550</v>
      </c>
      <c r="Q558" s="7" t="s">
        <v>621</v>
      </c>
    </row>
    <row r="559" spans="1:17" x14ac:dyDescent="0.25">
      <c r="A559" t="s">
        <v>628</v>
      </c>
      <c r="B559">
        <v>1157810</v>
      </c>
      <c r="D559">
        <v>25</v>
      </c>
      <c r="G559">
        <v>98</v>
      </c>
      <c r="H559">
        <v>110</v>
      </c>
      <c r="I559" t="s">
        <v>6</v>
      </c>
      <c r="J559">
        <v>94</v>
      </c>
      <c r="K559">
        <v>120</v>
      </c>
      <c r="L559" t="str">
        <f t="shared" si="78"/>
        <v>normal</v>
      </c>
      <c r="O559" t="s">
        <v>967</v>
      </c>
      <c r="P559" s="7" t="s">
        <v>621</v>
      </c>
      <c r="Q559" s="7" t="s">
        <v>621</v>
      </c>
    </row>
    <row r="560" spans="1:17" x14ac:dyDescent="0.25">
      <c r="A560" t="s">
        <v>629</v>
      </c>
      <c r="B560">
        <v>1157805</v>
      </c>
      <c r="D560">
        <v>18</v>
      </c>
      <c r="G560">
        <v>98</v>
      </c>
      <c r="H560">
        <v>140</v>
      </c>
      <c r="I560" t="s">
        <v>630</v>
      </c>
      <c r="J560">
        <v>94</v>
      </c>
      <c r="K560">
        <v>120</v>
      </c>
      <c r="L560" t="str">
        <f t="shared" si="78"/>
        <v>normal</v>
      </c>
      <c r="P560" s="7" t="s">
        <v>621</v>
      </c>
      <c r="Q560" s="7" t="s">
        <v>631</v>
      </c>
    </row>
    <row r="561" spans="1:17" hidden="1" x14ac:dyDescent="0.25">
      <c r="A561" t="s">
        <v>632</v>
      </c>
      <c r="B561">
        <v>1154451</v>
      </c>
      <c r="D561">
        <v>71</v>
      </c>
      <c r="G561">
        <v>98</v>
      </c>
      <c r="H561">
        <v>118</v>
      </c>
      <c r="I561" t="s">
        <v>633</v>
      </c>
      <c r="J561">
        <v>84</v>
      </c>
      <c r="O561" t="s">
        <v>967</v>
      </c>
      <c r="P561" s="7" t="s">
        <v>621</v>
      </c>
      <c r="Q561" s="7" t="s">
        <v>621</v>
      </c>
    </row>
    <row r="562" spans="1:17" x14ac:dyDescent="0.25">
      <c r="A562" t="s">
        <v>634</v>
      </c>
      <c r="B562">
        <v>1156659</v>
      </c>
      <c r="D562">
        <v>71</v>
      </c>
      <c r="G562">
        <v>98</v>
      </c>
      <c r="H562">
        <v>85</v>
      </c>
      <c r="I562" t="s">
        <v>94</v>
      </c>
      <c r="J562">
        <v>85</v>
      </c>
      <c r="K562">
        <v>535</v>
      </c>
      <c r="L562" t="str">
        <f t="shared" ref="L562:L565" si="79">IF(K562:K1560&lt;=79,"sweet",IF(K562:K1560&lt;=120,"normal",IF(K562:K1560&lt;=250,"high",IF(K562:K1560&lt;=1000,"very high"))))</f>
        <v>very high</v>
      </c>
      <c r="P562" s="7" t="s">
        <v>621</v>
      </c>
      <c r="Q562" s="7" t="s">
        <v>621</v>
      </c>
    </row>
    <row r="563" spans="1:17" x14ac:dyDescent="0.25">
      <c r="A563" t="s">
        <v>635</v>
      </c>
      <c r="B563">
        <v>1157062</v>
      </c>
      <c r="D563">
        <v>44</v>
      </c>
      <c r="G563">
        <v>98</v>
      </c>
      <c r="H563">
        <v>66</v>
      </c>
      <c r="I563" t="s">
        <v>414</v>
      </c>
      <c r="J563">
        <v>88</v>
      </c>
      <c r="K563">
        <v>141</v>
      </c>
      <c r="L563" t="str">
        <f t="shared" si="79"/>
        <v>high</v>
      </c>
      <c r="P563" s="7" t="s">
        <v>621</v>
      </c>
      <c r="Q563" s="7" t="s">
        <v>621</v>
      </c>
    </row>
    <row r="564" spans="1:17" x14ac:dyDescent="0.25">
      <c r="A564" t="s">
        <v>636</v>
      </c>
      <c r="B564">
        <v>1160963</v>
      </c>
      <c r="D564">
        <v>41</v>
      </c>
      <c r="G564">
        <v>98</v>
      </c>
      <c r="H564">
        <v>100</v>
      </c>
      <c r="I564" t="s">
        <v>262</v>
      </c>
      <c r="J564">
        <v>85</v>
      </c>
      <c r="K564">
        <v>448</v>
      </c>
      <c r="L564" t="str">
        <f t="shared" si="79"/>
        <v>very high</v>
      </c>
      <c r="P564" s="7" t="s">
        <v>631</v>
      </c>
      <c r="Q564" s="7" t="s">
        <v>631</v>
      </c>
    </row>
    <row r="565" spans="1:17" x14ac:dyDescent="0.25">
      <c r="A565" t="s">
        <v>637</v>
      </c>
      <c r="B565">
        <v>1161688</v>
      </c>
      <c r="D565">
        <v>50</v>
      </c>
      <c r="G565">
        <v>98</v>
      </c>
      <c r="H565">
        <v>110</v>
      </c>
      <c r="I565" t="s">
        <v>633</v>
      </c>
      <c r="J565">
        <v>80</v>
      </c>
      <c r="K565">
        <v>142</v>
      </c>
      <c r="L565" t="str">
        <f t="shared" si="79"/>
        <v>high</v>
      </c>
      <c r="P565" s="7" t="s">
        <v>631</v>
      </c>
      <c r="Q565" s="7" t="s">
        <v>638</v>
      </c>
    </row>
    <row r="566" spans="1:17" hidden="1" x14ac:dyDescent="0.25">
      <c r="A566" t="s">
        <v>278</v>
      </c>
      <c r="B566">
        <v>116763</v>
      </c>
      <c r="D566">
        <v>76</v>
      </c>
      <c r="G566">
        <v>98</v>
      </c>
      <c r="H566">
        <v>80</v>
      </c>
      <c r="I566" t="s">
        <v>639</v>
      </c>
      <c r="P566" s="7" t="s">
        <v>638</v>
      </c>
      <c r="Q566" s="7" t="s">
        <v>638</v>
      </c>
    </row>
    <row r="567" spans="1:17" x14ac:dyDescent="0.25">
      <c r="A567" t="s">
        <v>640</v>
      </c>
      <c r="B567">
        <v>11558468</v>
      </c>
      <c r="D567">
        <v>89</v>
      </c>
      <c r="G567">
        <v>98</v>
      </c>
      <c r="H567">
        <v>98</v>
      </c>
      <c r="I567" t="s">
        <v>304</v>
      </c>
      <c r="J567">
        <v>60</v>
      </c>
      <c r="K567">
        <v>332</v>
      </c>
      <c r="L567" t="str">
        <f>IF(K567:K1565&lt;=79,"sweet",IF(K567:K1565&lt;=120,"normal",IF(K567:K1565&lt;=250,"high",IF(K567:K1565&lt;=1000,"very high"))))</f>
        <v>very high</v>
      </c>
      <c r="P567" s="7" t="s">
        <v>621</v>
      </c>
      <c r="Q567" s="7" t="s">
        <v>621</v>
      </c>
    </row>
    <row r="568" spans="1:17" hidden="1" x14ac:dyDescent="0.25">
      <c r="A568" t="s">
        <v>641</v>
      </c>
      <c r="B568">
        <v>1162921</v>
      </c>
      <c r="C568" t="s">
        <v>642</v>
      </c>
      <c r="D568">
        <v>71</v>
      </c>
      <c r="G568">
        <v>98</v>
      </c>
      <c r="H568">
        <v>55</v>
      </c>
      <c r="I568" t="s">
        <v>43</v>
      </c>
      <c r="J568">
        <v>90</v>
      </c>
      <c r="O568" t="s">
        <v>967</v>
      </c>
      <c r="P568" s="7" t="s">
        <v>638</v>
      </c>
      <c r="Q568" s="7" t="s">
        <v>638</v>
      </c>
    </row>
    <row r="569" spans="1:17" hidden="1" x14ac:dyDescent="0.25">
      <c r="A569" t="s">
        <v>643</v>
      </c>
      <c r="B569">
        <v>1164636</v>
      </c>
      <c r="D569">
        <v>67</v>
      </c>
      <c r="G569">
        <v>98</v>
      </c>
      <c r="H569">
        <v>67</v>
      </c>
      <c r="I569" t="s">
        <v>644</v>
      </c>
      <c r="J569">
        <v>93</v>
      </c>
      <c r="P569" s="7" t="s">
        <v>638</v>
      </c>
      <c r="Q569" s="7" t="s">
        <v>638</v>
      </c>
    </row>
    <row r="570" spans="1:17" x14ac:dyDescent="0.25">
      <c r="A570" t="s">
        <v>645</v>
      </c>
      <c r="B570">
        <v>1164270</v>
      </c>
      <c r="D570">
        <v>22</v>
      </c>
      <c r="G570">
        <v>98</v>
      </c>
      <c r="H570">
        <v>120</v>
      </c>
      <c r="I570" t="s">
        <v>96</v>
      </c>
      <c r="J570">
        <v>99</v>
      </c>
      <c r="K570">
        <v>148</v>
      </c>
      <c r="L570" t="str">
        <f t="shared" ref="L570:L571" si="80">IF(K570:K1568&lt;=79,"sweet",IF(K570:K1568&lt;=120,"normal",IF(K570:K1568&lt;=250,"high",IF(K570:K1568&lt;=1000,"very high"))))</f>
        <v>high</v>
      </c>
      <c r="P570" s="7" t="s">
        <v>638</v>
      </c>
      <c r="Q570" s="7" t="s">
        <v>638</v>
      </c>
    </row>
    <row r="571" spans="1:17" x14ac:dyDescent="0.25">
      <c r="A571" t="s">
        <v>646</v>
      </c>
      <c r="B571">
        <v>1163712</v>
      </c>
      <c r="C571" t="s">
        <v>647</v>
      </c>
      <c r="D571">
        <v>74</v>
      </c>
      <c r="G571">
        <v>98</v>
      </c>
      <c r="H571">
        <v>90</v>
      </c>
      <c r="I571" t="s">
        <v>444</v>
      </c>
      <c r="J571">
        <v>99</v>
      </c>
      <c r="K571">
        <v>502</v>
      </c>
      <c r="L571" t="str">
        <f t="shared" si="80"/>
        <v>very high</v>
      </c>
      <c r="P571" s="7" t="s">
        <v>638</v>
      </c>
      <c r="Q571" s="7" t="s">
        <v>638</v>
      </c>
    </row>
    <row r="572" spans="1:17" hidden="1" x14ac:dyDescent="0.25">
      <c r="A572" t="s">
        <v>648</v>
      </c>
      <c r="B572">
        <v>1164864</v>
      </c>
      <c r="D572">
        <v>28</v>
      </c>
      <c r="G572">
        <v>98</v>
      </c>
      <c r="H572">
        <v>102</v>
      </c>
      <c r="I572" t="s">
        <v>6</v>
      </c>
      <c r="P572" s="7" t="s">
        <v>638</v>
      </c>
      <c r="Q572" s="7" t="s">
        <v>638</v>
      </c>
    </row>
    <row r="573" spans="1:17" hidden="1" x14ac:dyDescent="0.25">
      <c r="A573" t="s">
        <v>649</v>
      </c>
      <c r="B573">
        <v>1164299</v>
      </c>
      <c r="D573">
        <v>55</v>
      </c>
      <c r="G573">
        <v>98</v>
      </c>
      <c r="H573">
        <v>114</v>
      </c>
      <c r="I573" t="s">
        <v>92</v>
      </c>
      <c r="J573">
        <v>89</v>
      </c>
      <c r="N573" t="s">
        <v>973</v>
      </c>
      <c r="O573" t="s">
        <v>968</v>
      </c>
      <c r="P573" s="7" t="s">
        <v>638</v>
      </c>
      <c r="Q573" s="7" t="s">
        <v>638</v>
      </c>
    </row>
    <row r="574" spans="1:17" x14ac:dyDescent="0.25">
      <c r="A574" t="s">
        <v>650</v>
      </c>
      <c r="B574">
        <v>6579322</v>
      </c>
      <c r="C574" t="s">
        <v>651</v>
      </c>
      <c r="D574">
        <v>60</v>
      </c>
      <c r="G574">
        <v>98</v>
      </c>
      <c r="H574">
        <v>78</v>
      </c>
      <c r="I574" t="s">
        <v>47</v>
      </c>
      <c r="J574">
        <v>88</v>
      </c>
      <c r="K574">
        <v>412</v>
      </c>
      <c r="L574" t="str">
        <f t="shared" ref="L574:L575" si="81">IF(K574:K1572&lt;=79,"sweet",IF(K574:K1572&lt;=120,"normal",IF(K574:K1572&lt;=250,"high",IF(K574:K1572&lt;=1000,"very high"))))</f>
        <v>very high</v>
      </c>
      <c r="P574" s="7" t="s">
        <v>652</v>
      </c>
      <c r="Q574" s="7" t="s">
        <v>652</v>
      </c>
    </row>
    <row r="575" spans="1:17" x14ac:dyDescent="0.25">
      <c r="A575" t="s">
        <v>121</v>
      </c>
      <c r="B575">
        <v>1167473</v>
      </c>
      <c r="D575">
        <v>52</v>
      </c>
      <c r="G575">
        <v>98</v>
      </c>
      <c r="H575">
        <v>136</v>
      </c>
      <c r="I575" t="s">
        <v>96</v>
      </c>
      <c r="J575">
        <v>89</v>
      </c>
      <c r="K575">
        <v>220</v>
      </c>
      <c r="L575" t="str">
        <f t="shared" si="81"/>
        <v>high</v>
      </c>
      <c r="P575" s="7" t="s">
        <v>652</v>
      </c>
      <c r="Q575" s="7" t="s">
        <v>652</v>
      </c>
    </row>
    <row r="576" spans="1:17" hidden="1" x14ac:dyDescent="0.25">
      <c r="A576" t="s">
        <v>407</v>
      </c>
      <c r="B576">
        <v>1166245</v>
      </c>
      <c r="D576">
        <v>65</v>
      </c>
      <c r="G576">
        <v>98</v>
      </c>
      <c r="H576">
        <v>28</v>
      </c>
      <c r="I576" t="s">
        <v>653</v>
      </c>
      <c r="J576">
        <v>88</v>
      </c>
      <c r="K576">
        <v>78</v>
      </c>
      <c r="P576" s="7" t="s">
        <v>652</v>
      </c>
      <c r="Q576" s="7" t="s">
        <v>652</v>
      </c>
    </row>
    <row r="577" spans="1:17" x14ac:dyDescent="0.25">
      <c r="A577" t="s">
        <v>654</v>
      </c>
      <c r="B577">
        <v>1186156</v>
      </c>
      <c r="D577">
        <v>56</v>
      </c>
      <c r="G577">
        <v>98</v>
      </c>
      <c r="H577">
        <v>44</v>
      </c>
      <c r="I577" t="s">
        <v>74</v>
      </c>
      <c r="J577">
        <v>36</v>
      </c>
      <c r="K577">
        <v>551</v>
      </c>
      <c r="L577" t="str">
        <f>IF(K577:K1575&lt;=79,"sweet",IF(K577:K1575&lt;=120,"normal",IF(K577:K1575&lt;=250,"high",IF(K577:K1575&lt;=1000,"very high"))))</f>
        <v>very high</v>
      </c>
      <c r="P577" s="7" t="s">
        <v>652</v>
      </c>
      <c r="Q577" s="7" t="s">
        <v>652</v>
      </c>
    </row>
    <row r="578" spans="1:17" hidden="1" x14ac:dyDescent="0.25">
      <c r="A578" t="s">
        <v>424</v>
      </c>
      <c r="B578">
        <v>1115225</v>
      </c>
      <c r="D578">
        <v>60</v>
      </c>
      <c r="G578">
        <v>98</v>
      </c>
      <c r="H578">
        <v>72</v>
      </c>
      <c r="I578" t="s">
        <v>6</v>
      </c>
      <c r="P578" s="7" t="s">
        <v>652</v>
      </c>
      <c r="Q578" s="7" t="s">
        <v>655</v>
      </c>
    </row>
    <row r="579" spans="1:17" x14ac:dyDescent="0.25">
      <c r="A579" t="s">
        <v>431</v>
      </c>
      <c r="B579">
        <v>1158585</v>
      </c>
      <c r="D579">
        <v>35</v>
      </c>
      <c r="G579">
        <v>98</v>
      </c>
      <c r="H579">
        <v>71</v>
      </c>
      <c r="I579" t="s">
        <v>49</v>
      </c>
      <c r="J579">
        <v>99</v>
      </c>
      <c r="K579">
        <v>166</v>
      </c>
      <c r="L579" t="str">
        <f>IF(K579:K1577&lt;=79,"sweet",IF(K579:K1577&lt;=120,"normal",IF(K579:K1577&lt;=250,"high",IF(K579:K1577&lt;=1000,"very high"))))</f>
        <v>high</v>
      </c>
      <c r="P579" s="7" t="s">
        <v>652</v>
      </c>
      <c r="Q579" s="7" t="s">
        <v>655</v>
      </c>
    </row>
    <row r="580" spans="1:17" hidden="1" x14ac:dyDescent="0.25">
      <c r="A580" t="s">
        <v>432</v>
      </c>
      <c r="B580">
        <v>1148582</v>
      </c>
      <c r="D580">
        <v>23</v>
      </c>
      <c r="G580">
        <v>98</v>
      </c>
      <c r="H580">
        <v>72</v>
      </c>
      <c r="I580" t="s">
        <v>6</v>
      </c>
      <c r="J580">
        <v>45</v>
      </c>
      <c r="K580">
        <v>76</v>
      </c>
      <c r="P580" s="7" t="s">
        <v>652</v>
      </c>
      <c r="Q580" s="7" t="s">
        <v>655</v>
      </c>
    </row>
    <row r="581" spans="1:17" x14ac:dyDescent="0.25">
      <c r="A581" t="s">
        <v>433</v>
      </c>
      <c r="B581">
        <v>1598555</v>
      </c>
      <c r="D581">
        <v>60</v>
      </c>
      <c r="G581">
        <v>98</v>
      </c>
      <c r="H581">
        <v>123</v>
      </c>
      <c r="I581" t="s">
        <v>288</v>
      </c>
      <c r="J581">
        <v>67</v>
      </c>
      <c r="K581">
        <v>433</v>
      </c>
      <c r="L581" t="str">
        <f>IF(K581:K1579&lt;=79,"sweet",IF(K581:K1579&lt;=120,"normal",IF(K581:K1579&lt;=250,"high",IF(K581:K1579&lt;=1000,"very high"))))</f>
        <v>very high</v>
      </c>
      <c r="M581" t="s">
        <v>36</v>
      </c>
      <c r="P581" s="7" t="s">
        <v>652</v>
      </c>
      <c r="Q581" s="7" t="s">
        <v>655</v>
      </c>
    </row>
    <row r="582" spans="1:17" hidden="1" x14ac:dyDescent="0.25">
      <c r="A582" t="s">
        <v>435</v>
      </c>
      <c r="B582">
        <v>1185822</v>
      </c>
      <c r="D582">
        <v>55</v>
      </c>
      <c r="G582">
        <v>98</v>
      </c>
      <c r="H582">
        <v>117</v>
      </c>
      <c r="I582" t="s">
        <v>290</v>
      </c>
      <c r="J582">
        <v>91</v>
      </c>
      <c r="P582" s="7" t="s">
        <v>652</v>
      </c>
      <c r="Q582" s="7" t="s">
        <v>655</v>
      </c>
    </row>
    <row r="583" spans="1:17" x14ac:dyDescent="0.25">
      <c r="A583" t="s">
        <v>436</v>
      </c>
      <c r="B583">
        <v>1188992</v>
      </c>
      <c r="D583">
        <v>80</v>
      </c>
      <c r="G583">
        <v>98</v>
      </c>
      <c r="H583">
        <v>98</v>
      </c>
      <c r="I583" t="s">
        <v>53</v>
      </c>
      <c r="J583">
        <v>95</v>
      </c>
      <c r="K583">
        <v>180</v>
      </c>
      <c r="L583" t="str">
        <f t="shared" ref="L583:L584" si="82">IF(K583:K1581&lt;=79,"sweet",IF(K583:K1581&lt;=120,"normal",IF(K583:K1581&lt;=250,"high",IF(K583:K1581&lt;=1000,"very high"))))</f>
        <v>high</v>
      </c>
      <c r="P583" s="7" t="s">
        <v>652</v>
      </c>
      <c r="Q583" s="7" t="s">
        <v>655</v>
      </c>
    </row>
    <row r="584" spans="1:17" x14ac:dyDescent="0.25">
      <c r="A584" t="s">
        <v>438</v>
      </c>
      <c r="B584">
        <v>1158582</v>
      </c>
      <c r="D584">
        <v>60</v>
      </c>
      <c r="G584">
        <v>98</v>
      </c>
      <c r="H584">
        <v>90</v>
      </c>
      <c r="I584" t="s">
        <v>49</v>
      </c>
      <c r="J584">
        <v>85</v>
      </c>
      <c r="K584">
        <v>119</v>
      </c>
      <c r="L584" t="str">
        <f t="shared" si="82"/>
        <v>normal</v>
      </c>
      <c r="O584" t="s">
        <v>967</v>
      </c>
      <c r="P584" s="7" t="s">
        <v>652</v>
      </c>
      <c r="Q584" s="7" t="s">
        <v>655</v>
      </c>
    </row>
    <row r="585" spans="1:17" hidden="1" x14ac:dyDescent="0.25">
      <c r="A585" t="s">
        <v>442</v>
      </c>
      <c r="B585">
        <v>1184822</v>
      </c>
      <c r="D585">
        <v>55</v>
      </c>
      <c r="G585">
        <v>98</v>
      </c>
      <c r="H585">
        <v>86</v>
      </c>
      <c r="I585" t="s">
        <v>6</v>
      </c>
      <c r="J585">
        <v>92</v>
      </c>
      <c r="K585">
        <v>32</v>
      </c>
      <c r="M585" t="s">
        <v>969</v>
      </c>
      <c r="O585" t="s">
        <v>967</v>
      </c>
      <c r="P585" s="7" t="s">
        <v>652</v>
      </c>
      <c r="Q585" s="7" t="s">
        <v>655</v>
      </c>
    </row>
    <row r="586" spans="1:17" x14ac:dyDescent="0.25">
      <c r="A586" t="s">
        <v>443</v>
      </c>
      <c r="B586">
        <v>11858</v>
      </c>
      <c r="D586">
        <v>60</v>
      </c>
      <c r="G586">
        <v>98</v>
      </c>
      <c r="H586">
        <v>98</v>
      </c>
      <c r="I586" t="s">
        <v>295</v>
      </c>
      <c r="J586">
        <v>99</v>
      </c>
      <c r="K586">
        <v>143</v>
      </c>
      <c r="L586" t="str">
        <f t="shared" ref="L586:L587" si="83">IF(K586:K1584&lt;=79,"sweet",IF(K586:K1584&lt;=120,"normal",IF(K586:K1584&lt;=250,"high",IF(K586:K1584&lt;=1000,"very high"))))</f>
        <v>high</v>
      </c>
      <c r="P586" s="7" t="s">
        <v>652</v>
      </c>
      <c r="Q586" s="7" t="s">
        <v>655</v>
      </c>
    </row>
    <row r="587" spans="1:17" x14ac:dyDescent="0.25">
      <c r="A587" t="s">
        <v>48</v>
      </c>
      <c r="B587">
        <v>1158475</v>
      </c>
      <c r="D587">
        <v>80</v>
      </c>
      <c r="G587">
        <v>98</v>
      </c>
      <c r="H587">
        <v>83</v>
      </c>
      <c r="I587" t="s">
        <v>296</v>
      </c>
      <c r="J587">
        <v>62</v>
      </c>
      <c r="K587">
        <v>80</v>
      </c>
      <c r="L587" t="str">
        <f t="shared" si="83"/>
        <v>normal</v>
      </c>
      <c r="P587" s="7" t="s">
        <v>652</v>
      </c>
      <c r="Q587" s="7" t="s">
        <v>655</v>
      </c>
    </row>
    <row r="588" spans="1:17" hidden="1" x14ac:dyDescent="0.25">
      <c r="A588" t="s">
        <v>447</v>
      </c>
      <c r="B588">
        <v>118458</v>
      </c>
      <c r="D588">
        <v>55</v>
      </c>
      <c r="G588">
        <v>98</v>
      </c>
      <c r="H588">
        <v>88</v>
      </c>
      <c r="I588" t="s">
        <v>298</v>
      </c>
      <c r="K588">
        <v>22</v>
      </c>
      <c r="M588" t="s">
        <v>969</v>
      </c>
      <c r="P588" s="7" t="s">
        <v>655</v>
      </c>
      <c r="Q588" s="7" t="s">
        <v>655</v>
      </c>
    </row>
    <row r="589" spans="1:17" x14ac:dyDescent="0.25">
      <c r="A589" t="s">
        <v>448</v>
      </c>
      <c r="B589">
        <v>1187985</v>
      </c>
      <c r="D589">
        <v>65</v>
      </c>
      <c r="G589">
        <v>98</v>
      </c>
      <c r="H589">
        <v>95</v>
      </c>
      <c r="I589" t="s">
        <v>194</v>
      </c>
      <c r="J589">
        <v>86</v>
      </c>
      <c r="K589">
        <v>132</v>
      </c>
      <c r="L589" t="str">
        <f t="shared" ref="L589:L590" si="84">IF(K589:K1587&lt;=79,"sweet",IF(K589:K1587&lt;=120,"normal",IF(K589:K1587&lt;=250,"high",IF(K589:K1587&lt;=1000,"very high"))))</f>
        <v>high</v>
      </c>
      <c r="P589" s="7" t="s">
        <v>655</v>
      </c>
      <c r="Q589" s="7" t="s">
        <v>655</v>
      </c>
    </row>
    <row r="590" spans="1:17" x14ac:dyDescent="0.25">
      <c r="A590" t="s">
        <v>270</v>
      </c>
      <c r="B590">
        <v>1187363</v>
      </c>
      <c r="D590">
        <v>63</v>
      </c>
      <c r="G590">
        <v>98</v>
      </c>
      <c r="H590">
        <v>79</v>
      </c>
      <c r="I590" t="s">
        <v>301</v>
      </c>
      <c r="J590">
        <v>98</v>
      </c>
      <c r="K590">
        <v>234</v>
      </c>
      <c r="L590" t="str">
        <f t="shared" si="84"/>
        <v>high</v>
      </c>
      <c r="O590" t="s">
        <v>977</v>
      </c>
      <c r="P590" s="7" t="s">
        <v>655</v>
      </c>
      <c r="Q590" s="7" t="s">
        <v>655</v>
      </c>
    </row>
    <row r="591" spans="1:17" hidden="1" x14ac:dyDescent="0.25">
      <c r="A591" t="s">
        <v>449</v>
      </c>
      <c r="B591">
        <v>1178533</v>
      </c>
      <c r="D591">
        <v>45</v>
      </c>
      <c r="G591">
        <v>98</v>
      </c>
      <c r="H591">
        <v>80</v>
      </c>
      <c r="I591" t="s">
        <v>302</v>
      </c>
      <c r="J591">
        <v>95</v>
      </c>
      <c r="P591" s="7" t="s">
        <v>655</v>
      </c>
      <c r="Q591" s="7" t="s">
        <v>655</v>
      </c>
    </row>
    <row r="592" spans="1:17" hidden="1" x14ac:dyDescent="0.25">
      <c r="A592" t="s">
        <v>450</v>
      </c>
      <c r="B592">
        <v>1174959</v>
      </c>
      <c r="D592">
        <v>60</v>
      </c>
      <c r="G592">
        <v>98</v>
      </c>
      <c r="H592">
        <v>88</v>
      </c>
      <c r="I592" t="s">
        <v>304</v>
      </c>
      <c r="J592">
        <v>99</v>
      </c>
      <c r="O592" t="s">
        <v>967</v>
      </c>
      <c r="P592" s="7" t="s">
        <v>655</v>
      </c>
      <c r="Q592" s="7" t="s">
        <v>655</v>
      </c>
    </row>
    <row r="593" spans="1:17" hidden="1" x14ac:dyDescent="0.25">
      <c r="A593" t="s">
        <v>452</v>
      </c>
      <c r="B593">
        <v>1105554</v>
      </c>
      <c r="D593">
        <v>50</v>
      </c>
      <c r="G593">
        <v>98</v>
      </c>
      <c r="H593">
        <v>81</v>
      </c>
      <c r="I593" t="s">
        <v>77</v>
      </c>
      <c r="J593">
        <v>85</v>
      </c>
      <c r="P593" s="7" t="s">
        <v>655</v>
      </c>
      <c r="Q593" s="7" t="s">
        <v>655</v>
      </c>
    </row>
    <row r="594" spans="1:17" x14ac:dyDescent="0.25">
      <c r="A594" t="s">
        <v>453</v>
      </c>
      <c r="B594">
        <v>1198598</v>
      </c>
      <c r="D594">
        <v>75</v>
      </c>
      <c r="G594">
        <v>98</v>
      </c>
      <c r="H594">
        <v>114</v>
      </c>
      <c r="I594" t="s">
        <v>96</v>
      </c>
      <c r="J594">
        <v>99</v>
      </c>
      <c r="K594">
        <v>104</v>
      </c>
      <c r="L594" t="str">
        <f>IF(K594:K1592&lt;=79,"sweet",IF(K594:K1592&lt;=120,"normal",IF(K594:K1592&lt;=250,"high",IF(K594:K1592&lt;=1000,"very high"))))</f>
        <v>normal</v>
      </c>
      <c r="O594" t="s">
        <v>967</v>
      </c>
      <c r="P594" s="7" t="s">
        <v>655</v>
      </c>
      <c r="Q594" s="7" t="s">
        <v>655</v>
      </c>
    </row>
    <row r="595" spans="1:17" hidden="1" x14ac:dyDescent="0.25">
      <c r="A595" t="s">
        <v>454</v>
      </c>
      <c r="B595">
        <v>1103585</v>
      </c>
      <c r="D595">
        <v>65</v>
      </c>
      <c r="G595">
        <v>98</v>
      </c>
      <c r="H595">
        <v>78</v>
      </c>
      <c r="I595" t="s">
        <v>6</v>
      </c>
      <c r="J595">
        <v>70</v>
      </c>
      <c r="K595">
        <v>34</v>
      </c>
      <c r="P595" s="7" t="s">
        <v>655</v>
      </c>
      <c r="Q595" s="7" t="s">
        <v>655</v>
      </c>
    </row>
    <row r="596" spans="1:17" x14ac:dyDescent="0.25">
      <c r="A596" t="s">
        <v>478</v>
      </c>
      <c r="B596">
        <v>1195852</v>
      </c>
      <c r="D596">
        <v>52</v>
      </c>
      <c r="G596">
        <v>98</v>
      </c>
      <c r="H596">
        <v>86</v>
      </c>
      <c r="I596" t="s">
        <v>6</v>
      </c>
      <c r="J596">
        <v>77</v>
      </c>
      <c r="K596">
        <v>129</v>
      </c>
      <c r="L596" t="str">
        <f t="shared" ref="L596:L603" si="85">IF(K596:K1594&lt;=79,"sweet",IF(K596:K1594&lt;=120,"normal",IF(K596:K1594&lt;=250,"high",IF(K596:K1594&lt;=1000,"very high"))))</f>
        <v>high</v>
      </c>
      <c r="O596" t="s">
        <v>967</v>
      </c>
      <c r="P596" s="7" t="s">
        <v>655</v>
      </c>
      <c r="Q596" s="7" t="s">
        <v>655</v>
      </c>
    </row>
    <row r="597" spans="1:17" x14ac:dyDescent="0.25">
      <c r="A597" t="s">
        <v>479</v>
      </c>
      <c r="B597">
        <v>1189859</v>
      </c>
      <c r="D597">
        <v>42</v>
      </c>
      <c r="G597">
        <v>98</v>
      </c>
      <c r="H597">
        <v>143</v>
      </c>
      <c r="I597" t="s">
        <v>96</v>
      </c>
      <c r="J597">
        <v>58</v>
      </c>
      <c r="K597">
        <v>163</v>
      </c>
      <c r="L597" t="str">
        <f t="shared" si="85"/>
        <v>high</v>
      </c>
      <c r="P597" s="7" t="s">
        <v>655</v>
      </c>
      <c r="Q597" s="7" t="s">
        <v>656</v>
      </c>
    </row>
    <row r="598" spans="1:17" x14ac:dyDescent="0.25">
      <c r="A598" t="s">
        <v>480</v>
      </c>
      <c r="B598">
        <v>1185984</v>
      </c>
      <c r="D598">
        <v>55</v>
      </c>
      <c r="G598">
        <v>98</v>
      </c>
      <c r="H598">
        <v>115</v>
      </c>
      <c r="I598" t="s">
        <v>43</v>
      </c>
      <c r="J598">
        <v>92</v>
      </c>
      <c r="K598">
        <v>542</v>
      </c>
      <c r="L598" t="str">
        <f t="shared" si="85"/>
        <v>very high</v>
      </c>
      <c r="M598" t="s">
        <v>36</v>
      </c>
      <c r="P598" s="7" t="s">
        <v>655</v>
      </c>
      <c r="Q598" s="7" t="s">
        <v>656</v>
      </c>
    </row>
    <row r="599" spans="1:17" x14ac:dyDescent="0.25">
      <c r="A599" t="s">
        <v>456</v>
      </c>
      <c r="B599">
        <v>1102258</v>
      </c>
      <c r="D599">
        <v>50</v>
      </c>
      <c r="G599">
        <v>98</v>
      </c>
      <c r="H599">
        <v>110</v>
      </c>
      <c r="I599" t="s">
        <v>53</v>
      </c>
      <c r="J599">
        <v>96</v>
      </c>
      <c r="K599">
        <v>535</v>
      </c>
      <c r="L599" t="str">
        <f t="shared" si="85"/>
        <v>very high</v>
      </c>
      <c r="M599" t="s">
        <v>36</v>
      </c>
      <c r="O599" t="s">
        <v>968</v>
      </c>
      <c r="P599" s="7" t="s">
        <v>655</v>
      </c>
      <c r="Q599" s="7" t="s">
        <v>656</v>
      </c>
    </row>
    <row r="600" spans="1:17" x14ac:dyDescent="0.25">
      <c r="A600" t="s">
        <v>458</v>
      </c>
      <c r="B600">
        <v>1125602</v>
      </c>
      <c r="D600">
        <v>60</v>
      </c>
      <c r="G600">
        <v>98</v>
      </c>
      <c r="H600">
        <v>130</v>
      </c>
      <c r="I600" t="s">
        <v>316</v>
      </c>
      <c r="J600">
        <v>99</v>
      </c>
      <c r="K600">
        <v>141</v>
      </c>
      <c r="L600" t="str">
        <f t="shared" si="85"/>
        <v>high</v>
      </c>
      <c r="P600" s="7" t="s">
        <v>655</v>
      </c>
      <c r="Q600" s="7" t="s">
        <v>656</v>
      </c>
    </row>
    <row r="601" spans="1:17" x14ac:dyDescent="0.25">
      <c r="A601" t="s">
        <v>657</v>
      </c>
      <c r="B601">
        <v>1105228</v>
      </c>
      <c r="D601">
        <v>65</v>
      </c>
      <c r="G601">
        <v>98</v>
      </c>
      <c r="H601">
        <v>45</v>
      </c>
      <c r="I601" t="s">
        <v>260</v>
      </c>
      <c r="J601">
        <v>98</v>
      </c>
      <c r="K601">
        <v>520</v>
      </c>
      <c r="L601" t="str">
        <f t="shared" si="85"/>
        <v>very high</v>
      </c>
      <c r="O601" t="s">
        <v>967</v>
      </c>
      <c r="P601" s="7">
        <v>44775</v>
      </c>
      <c r="Q601" s="7">
        <v>44775</v>
      </c>
    </row>
    <row r="602" spans="1:17" x14ac:dyDescent="0.25">
      <c r="A602" t="s">
        <v>658</v>
      </c>
      <c r="B602">
        <v>1105149</v>
      </c>
      <c r="D602">
        <v>32</v>
      </c>
      <c r="G602">
        <v>98</v>
      </c>
      <c r="H602">
        <v>60</v>
      </c>
      <c r="I602" t="s">
        <v>659</v>
      </c>
      <c r="J602">
        <v>99</v>
      </c>
      <c r="K602">
        <v>500</v>
      </c>
      <c r="L602" t="str">
        <f t="shared" si="85"/>
        <v>very high</v>
      </c>
      <c r="M602" t="s">
        <v>36</v>
      </c>
      <c r="O602" t="s">
        <v>967</v>
      </c>
      <c r="P602" s="7">
        <v>44775</v>
      </c>
      <c r="Q602" s="7">
        <v>44775</v>
      </c>
    </row>
    <row r="603" spans="1:17" x14ac:dyDescent="0.25">
      <c r="A603" t="s">
        <v>660</v>
      </c>
      <c r="B603">
        <v>1103704</v>
      </c>
      <c r="D603">
        <v>45</v>
      </c>
      <c r="G603">
        <v>98</v>
      </c>
      <c r="H603">
        <v>79</v>
      </c>
      <c r="I603" t="s">
        <v>18</v>
      </c>
      <c r="J603">
        <v>95</v>
      </c>
      <c r="K603">
        <v>480</v>
      </c>
      <c r="L603" t="str">
        <f t="shared" si="85"/>
        <v>very high</v>
      </c>
      <c r="P603" s="7">
        <v>44775</v>
      </c>
      <c r="Q603" s="7">
        <v>44775</v>
      </c>
    </row>
    <row r="604" spans="1:17" hidden="1" x14ac:dyDescent="0.25">
      <c r="A604" t="s">
        <v>661</v>
      </c>
      <c r="B604">
        <v>11054537</v>
      </c>
      <c r="D604">
        <v>50</v>
      </c>
      <c r="G604">
        <v>98</v>
      </c>
      <c r="J604">
        <v>94</v>
      </c>
      <c r="O604" t="s">
        <v>967</v>
      </c>
      <c r="P604" s="7">
        <v>44775</v>
      </c>
      <c r="Q604" s="7">
        <v>44775</v>
      </c>
    </row>
    <row r="605" spans="1:17" x14ac:dyDescent="0.25">
      <c r="A605" t="s">
        <v>662</v>
      </c>
      <c r="B605">
        <v>1096243</v>
      </c>
      <c r="D605">
        <v>18</v>
      </c>
      <c r="G605">
        <v>98</v>
      </c>
      <c r="H605">
        <v>84</v>
      </c>
      <c r="I605" t="s">
        <v>663</v>
      </c>
      <c r="J605">
        <v>29</v>
      </c>
      <c r="K605">
        <v>132</v>
      </c>
      <c r="L605" t="str">
        <f>IF(K605:K1603&lt;=79,"sweet",IF(K605:K1603&lt;=120,"normal",IF(K605:K1603&lt;=250,"high",IF(K605:K1603&lt;=1000,"very high"))))</f>
        <v>high</v>
      </c>
      <c r="P605" s="7">
        <v>44775</v>
      </c>
      <c r="Q605" s="7">
        <v>44775</v>
      </c>
    </row>
    <row r="606" spans="1:17" hidden="1" x14ac:dyDescent="0.25">
      <c r="A606" t="s">
        <v>664</v>
      </c>
      <c r="B606">
        <v>1105136</v>
      </c>
      <c r="D606">
        <v>101</v>
      </c>
      <c r="G606">
        <v>98</v>
      </c>
      <c r="H606">
        <v>100</v>
      </c>
      <c r="J606">
        <v>98</v>
      </c>
      <c r="K606">
        <v>28</v>
      </c>
      <c r="P606" s="7">
        <v>44775</v>
      </c>
      <c r="Q606" s="7">
        <v>44775</v>
      </c>
    </row>
    <row r="607" spans="1:17" hidden="1" x14ac:dyDescent="0.25">
      <c r="A607" t="s">
        <v>665</v>
      </c>
      <c r="B607">
        <v>11404472</v>
      </c>
      <c r="D607">
        <v>50</v>
      </c>
      <c r="G607">
        <v>98</v>
      </c>
      <c r="P607" s="7">
        <v>44775</v>
      </c>
      <c r="Q607" s="7">
        <v>44806</v>
      </c>
    </row>
    <row r="608" spans="1:17" x14ac:dyDescent="0.25">
      <c r="A608" t="s">
        <v>666</v>
      </c>
      <c r="B608">
        <v>1106833</v>
      </c>
      <c r="D608">
        <v>14</v>
      </c>
      <c r="G608">
        <v>98</v>
      </c>
      <c r="H608">
        <v>140</v>
      </c>
      <c r="I608" t="s">
        <v>667</v>
      </c>
      <c r="J608">
        <v>65</v>
      </c>
      <c r="K608">
        <v>448</v>
      </c>
      <c r="L608" t="str">
        <f>IF(K608:K1606&lt;=79,"sweet",IF(K608:K1606&lt;=120,"normal",IF(K608:K1606&lt;=250,"high",IF(K608:K1606&lt;=1000,"very high"))))</f>
        <v>very high</v>
      </c>
      <c r="P608" s="7">
        <v>44806</v>
      </c>
      <c r="Q608" s="7">
        <v>44806</v>
      </c>
    </row>
    <row r="609" spans="1:17" hidden="1" x14ac:dyDescent="0.25">
      <c r="A609" t="s">
        <v>668</v>
      </c>
      <c r="B609">
        <v>1106804</v>
      </c>
      <c r="D609">
        <v>16</v>
      </c>
      <c r="G609">
        <v>98</v>
      </c>
      <c r="P609" s="7">
        <v>44806</v>
      </c>
      <c r="Q609" s="7">
        <v>44806</v>
      </c>
    </row>
    <row r="610" spans="1:17" hidden="1" x14ac:dyDescent="0.25">
      <c r="A610" t="s">
        <v>634</v>
      </c>
      <c r="B610">
        <v>1108386</v>
      </c>
      <c r="D610">
        <v>60</v>
      </c>
      <c r="G610">
        <v>98</v>
      </c>
      <c r="I610" t="s">
        <v>31</v>
      </c>
      <c r="P610" s="7">
        <v>44806</v>
      </c>
      <c r="Q610" s="7">
        <v>44806</v>
      </c>
    </row>
    <row r="611" spans="1:17" hidden="1" x14ac:dyDescent="0.25">
      <c r="A611" t="s">
        <v>669</v>
      </c>
      <c r="B611">
        <v>1108071</v>
      </c>
      <c r="D611">
        <v>45</v>
      </c>
      <c r="G611">
        <v>98</v>
      </c>
      <c r="H611">
        <v>140</v>
      </c>
      <c r="I611" t="s">
        <v>77</v>
      </c>
      <c r="J611">
        <v>98</v>
      </c>
      <c r="O611" t="s">
        <v>967</v>
      </c>
      <c r="P611" s="7">
        <v>44806</v>
      </c>
      <c r="Q611" s="7">
        <v>44806</v>
      </c>
    </row>
    <row r="612" spans="1:17" x14ac:dyDescent="0.25">
      <c r="A612" t="s">
        <v>670</v>
      </c>
      <c r="B612">
        <v>1108790</v>
      </c>
      <c r="D612">
        <v>60</v>
      </c>
      <c r="G612">
        <v>98</v>
      </c>
      <c r="H612">
        <v>145</v>
      </c>
      <c r="I612" t="s">
        <v>671</v>
      </c>
      <c r="J612">
        <v>70</v>
      </c>
      <c r="K612">
        <v>220</v>
      </c>
      <c r="L612" t="str">
        <f>IF(K612:K1610&lt;=79,"sweet",IF(K612:K1610&lt;=120,"normal",IF(K612:K1610&lt;=250,"high",IF(K612:K1610&lt;=1000,"very high"))))</f>
        <v>high</v>
      </c>
      <c r="P612" s="7">
        <v>44806</v>
      </c>
      <c r="Q612" s="7">
        <v>44806</v>
      </c>
    </row>
    <row r="613" spans="1:17" hidden="1" x14ac:dyDescent="0.25">
      <c r="A613" t="s">
        <v>158</v>
      </c>
      <c r="B613">
        <v>1108398</v>
      </c>
      <c r="D613">
        <v>35</v>
      </c>
      <c r="G613">
        <v>98</v>
      </c>
      <c r="I613" t="s">
        <v>279</v>
      </c>
      <c r="P613" s="7">
        <v>44806</v>
      </c>
      <c r="Q613" s="7">
        <v>44806</v>
      </c>
    </row>
    <row r="614" spans="1:17" x14ac:dyDescent="0.25">
      <c r="A614" t="s">
        <v>672</v>
      </c>
      <c r="B614">
        <v>1108573</v>
      </c>
      <c r="D614">
        <v>65</v>
      </c>
      <c r="G614">
        <v>98</v>
      </c>
      <c r="H614">
        <v>45</v>
      </c>
      <c r="I614" t="s">
        <v>96</v>
      </c>
      <c r="J614">
        <v>98</v>
      </c>
      <c r="K614">
        <v>97</v>
      </c>
      <c r="L614" t="str">
        <f>IF(K614:K1612&lt;=79,"sweet",IF(K614:K1612&lt;=120,"normal",IF(K614:K1612&lt;=250,"high",IF(K614:K1612&lt;=1000,"very high"))))</f>
        <v>normal</v>
      </c>
      <c r="P614" s="7">
        <v>44806</v>
      </c>
      <c r="Q614" s="7">
        <v>44806</v>
      </c>
    </row>
    <row r="615" spans="1:17" hidden="1" x14ac:dyDescent="0.25">
      <c r="A615" t="s">
        <v>673</v>
      </c>
      <c r="B615">
        <v>1109222</v>
      </c>
      <c r="D615">
        <v>81</v>
      </c>
      <c r="G615">
        <v>98</v>
      </c>
      <c r="H615">
        <v>183</v>
      </c>
      <c r="I615" t="s">
        <v>260</v>
      </c>
      <c r="J615">
        <v>72</v>
      </c>
      <c r="P615" s="7">
        <v>44806</v>
      </c>
      <c r="Q615" s="7">
        <v>44806</v>
      </c>
    </row>
    <row r="616" spans="1:17" hidden="1" x14ac:dyDescent="0.25">
      <c r="A616" t="s">
        <v>674</v>
      </c>
      <c r="B616">
        <v>1199929</v>
      </c>
      <c r="D616">
        <v>30</v>
      </c>
      <c r="G616">
        <v>98</v>
      </c>
      <c r="H616">
        <v>133</v>
      </c>
      <c r="I616" t="s">
        <v>675</v>
      </c>
      <c r="J616">
        <v>55</v>
      </c>
      <c r="O616" t="s">
        <v>968</v>
      </c>
      <c r="P616" s="7">
        <v>44836</v>
      </c>
      <c r="Q616" s="7">
        <v>44836</v>
      </c>
    </row>
    <row r="617" spans="1:17" x14ac:dyDescent="0.25">
      <c r="A617" t="s">
        <v>676</v>
      </c>
      <c r="B617">
        <v>1101384</v>
      </c>
      <c r="D617">
        <v>85</v>
      </c>
      <c r="G617">
        <v>98</v>
      </c>
      <c r="H617">
        <v>92</v>
      </c>
      <c r="I617" t="s">
        <v>96</v>
      </c>
      <c r="J617">
        <v>84</v>
      </c>
      <c r="K617">
        <v>387</v>
      </c>
      <c r="L617" t="str">
        <f t="shared" ref="L617:L618" si="86">IF(K617:K1615&lt;=79,"sweet",IF(K617:K1615&lt;=120,"normal",IF(K617:K1615&lt;=250,"high",IF(K617:K1615&lt;=1000,"very high"))))</f>
        <v>very high</v>
      </c>
      <c r="P617" s="7">
        <v>44775</v>
      </c>
      <c r="Q617" s="7">
        <v>44836</v>
      </c>
    </row>
    <row r="618" spans="1:17" x14ac:dyDescent="0.25">
      <c r="A618" t="s">
        <v>677</v>
      </c>
      <c r="B618">
        <v>1112693</v>
      </c>
      <c r="D618">
        <v>45</v>
      </c>
      <c r="G618">
        <v>98</v>
      </c>
      <c r="H618">
        <v>80</v>
      </c>
      <c r="I618" t="s">
        <v>161</v>
      </c>
      <c r="J618">
        <v>91</v>
      </c>
      <c r="K618">
        <v>299</v>
      </c>
      <c r="L618" t="str">
        <f t="shared" si="86"/>
        <v>very high</v>
      </c>
      <c r="P618" s="7">
        <v>44836</v>
      </c>
      <c r="Q618" s="7">
        <v>44836</v>
      </c>
    </row>
    <row r="619" spans="1:17" hidden="1" x14ac:dyDescent="0.25">
      <c r="A619" t="s">
        <v>55</v>
      </c>
      <c r="B619">
        <v>1113289</v>
      </c>
      <c r="D619">
        <v>55</v>
      </c>
      <c r="G619">
        <v>98</v>
      </c>
      <c r="H619">
        <v>65</v>
      </c>
      <c r="I619" t="s">
        <v>62</v>
      </c>
      <c r="J619">
        <v>99</v>
      </c>
      <c r="P619" s="7">
        <v>44836</v>
      </c>
      <c r="Q619" s="7">
        <v>44836</v>
      </c>
    </row>
    <row r="620" spans="1:17" x14ac:dyDescent="0.25">
      <c r="A620" t="s">
        <v>678</v>
      </c>
      <c r="B620">
        <v>1114030</v>
      </c>
      <c r="D620">
        <v>50</v>
      </c>
      <c r="G620">
        <v>98</v>
      </c>
      <c r="H620">
        <v>100</v>
      </c>
      <c r="I620" t="s">
        <v>74</v>
      </c>
      <c r="J620">
        <v>64</v>
      </c>
      <c r="K620">
        <v>238</v>
      </c>
      <c r="L620" t="str">
        <f t="shared" ref="L620:L622" si="87">IF(K620:K1618&lt;=79,"sweet",IF(K620:K1618&lt;=120,"normal",IF(K620:K1618&lt;=250,"high",IF(K620:K1618&lt;=1000,"very high"))))</f>
        <v>high</v>
      </c>
      <c r="O620" t="s">
        <v>977</v>
      </c>
      <c r="P620" s="7">
        <v>44836</v>
      </c>
      <c r="Q620" s="7">
        <v>44867</v>
      </c>
    </row>
    <row r="621" spans="1:17" x14ac:dyDescent="0.25">
      <c r="A621" t="s">
        <v>280</v>
      </c>
      <c r="B621">
        <v>1112738</v>
      </c>
      <c r="D621">
        <v>40</v>
      </c>
      <c r="G621">
        <v>98</v>
      </c>
      <c r="H621">
        <v>62</v>
      </c>
      <c r="I621" t="s">
        <v>43</v>
      </c>
      <c r="J621">
        <v>96</v>
      </c>
      <c r="K621">
        <v>148</v>
      </c>
      <c r="L621" t="str">
        <f t="shared" si="87"/>
        <v>high</v>
      </c>
      <c r="P621" s="7">
        <v>44836</v>
      </c>
      <c r="Q621" s="7">
        <v>44836</v>
      </c>
    </row>
    <row r="622" spans="1:17" x14ac:dyDescent="0.25">
      <c r="A622" t="s">
        <v>679</v>
      </c>
      <c r="B622">
        <v>1114070</v>
      </c>
      <c r="D622">
        <v>65</v>
      </c>
      <c r="G622">
        <v>98</v>
      </c>
      <c r="H622">
        <v>90</v>
      </c>
      <c r="I622" t="s">
        <v>6</v>
      </c>
      <c r="J622">
        <v>96</v>
      </c>
      <c r="K622">
        <v>297</v>
      </c>
      <c r="L622" t="str">
        <f t="shared" si="87"/>
        <v>very high</v>
      </c>
      <c r="N622" t="s">
        <v>972</v>
      </c>
      <c r="O622" t="s">
        <v>967</v>
      </c>
      <c r="P622" s="7">
        <v>44836</v>
      </c>
      <c r="Q622" s="7">
        <v>44867</v>
      </c>
    </row>
    <row r="623" spans="1:17" hidden="1" x14ac:dyDescent="0.25">
      <c r="A623" t="s">
        <v>680</v>
      </c>
      <c r="B623">
        <v>1112982</v>
      </c>
      <c r="D623">
        <v>81</v>
      </c>
      <c r="G623">
        <v>98</v>
      </c>
      <c r="H623">
        <v>96</v>
      </c>
      <c r="I623" s="3" t="s">
        <v>74</v>
      </c>
      <c r="J623">
        <v>89</v>
      </c>
      <c r="P623" s="7">
        <v>44836</v>
      </c>
      <c r="Q623" s="7">
        <v>44836</v>
      </c>
    </row>
    <row r="624" spans="1:17" hidden="1" x14ac:dyDescent="0.25">
      <c r="A624" t="s">
        <v>681</v>
      </c>
      <c r="B624">
        <v>111473</v>
      </c>
      <c r="D624">
        <v>74</v>
      </c>
      <c r="G624">
        <v>98</v>
      </c>
      <c r="H624">
        <v>126</v>
      </c>
      <c r="I624" t="s">
        <v>682</v>
      </c>
      <c r="J624">
        <v>90</v>
      </c>
      <c r="K624">
        <v>71</v>
      </c>
      <c r="O624" t="s">
        <v>967</v>
      </c>
      <c r="P624" s="7">
        <v>44836</v>
      </c>
      <c r="Q624" s="7">
        <v>44836</v>
      </c>
    </row>
    <row r="625" spans="1:17" x14ac:dyDescent="0.25">
      <c r="A625" t="s">
        <v>683</v>
      </c>
      <c r="B625">
        <v>111341</v>
      </c>
      <c r="D625">
        <v>52</v>
      </c>
      <c r="G625">
        <v>98</v>
      </c>
      <c r="H625">
        <v>89</v>
      </c>
      <c r="I625" t="s">
        <v>96</v>
      </c>
      <c r="J625">
        <v>98</v>
      </c>
      <c r="K625">
        <v>185</v>
      </c>
      <c r="L625" t="str">
        <f t="shared" ref="L625:L631" si="88">IF(K625:K1623&lt;=79,"sweet",IF(K625:K1623&lt;=120,"normal",IF(K625:K1623&lt;=250,"high",IF(K625:K1623&lt;=1000,"very high"))))</f>
        <v>high</v>
      </c>
      <c r="P625" s="7">
        <v>44836</v>
      </c>
      <c r="Q625" s="7">
        <v>44867</v>
      </c>
    </row>
    <row r="626" spans="1:17" x14ac:dyDescent="0.25">
      <c r="A626" t="s">
        <v>672</v>
      </c>
      <c r="B626">
        <v>1113826</v>
      </c>
      <c r="D626">
        <v>70</v>
      </c>
      <c r="G626">
        <v>98</v>
      </c>
      <c r="H626">
        <v>70</v>
      </c>
      <c r="I626" t="s">
        <v>684</v>
      </c>
      <c r="J626">
        <v>97</v>
      </c>
      <c r="K626">
        <v>376</v>
      </c>
      <c r="L626" t="str">
        <f t="shared" si="88"/>
        <v>very high</v>
      </c>
      <c r="O626" t="s">
        <v>967</v>
      </c>
      <c r="P626" s="7">
        <v>44836</v>
      </c>
      <c r="Q626" s="7">
        <v>44836</v>
      </c>
    </row>
    <row r="627" spans="1:17" x14ac:dyDescent="0.25">
      <c r="A627" t="s">
        <v>685</v>
      </c>
      <c r="B627">
        <v>1117271</v>
      </c>
      <c r="D627">
        <v>60</v>
      </c>
      <c r="G627">
        <v>98</v>
      </c>
      <c r="H627">
        <v>80</v>
      </c>
      <c r="I627" t="s">
        <v>491</v>
      </c>
      <c r="J627">
        <v>98</v>
      </c>
      <c r="K627">
        <v>420</v>
      </c>
      <c r="L627" t="str">
        <f t="shared" si="88"/>
        <v>very high</v>
      </c>
      <c r="P627" s="7">
        <v>44867</v>
      </c>
      <c r="Q627" s="7">
        <v>44867</v>
      </c>
    </row>
    <row r="628" spans="1:17" x14ac:dyDescent="0.25">
      <c r="A628" t="s">
        <v>686</v>
      </c>
      <c r="B628">
        <v>105767</v>
      </c>
      <c r="D628">
        <v>21</v>
      </c>
      <c r="G628">
        <v>98</v>
      </c>
      <c r="H628">
        <v>92</v>
      </c>
      <c r="I628" t="s">
        <v>92</v>
      </c>
      <c r="J628">
        <v>97</v>
      </c>
      <c r="K628">
        <v>80</v>
      </c>
      <c r="L628" t="str">
        <f t="shared" si="88"/>
        <v>normal</v>
      </c>
      <c r="P628" s="7">
        <v>44867</v>
      </c>
      <c r="Q628" s="7">
        <v>44897</v>
      </c>
    </row>
    <row r="629" spans="1:17" x14ac:dyDescent="0.25">
      <c r="A629" t="s">
        <v>687</v>
      </c>
      <c r="B629">
        <v>101548</v>
      </c>
      <c r="D629">
        <v>50</v>
      </c>
      <c r="G629">
        <v>98</v>
      </c>
      <c r="H629">
        <v>100</v>
      </c>
      <c r="I629" t="s">
        <v>688</v>
      </c>
      <c r="J629">
        <v>99</v>
      </c>
      <c r="K629">
        <v>428</v>
      </c>
      <c r="L629" t="str">
        <f t="shared" si="88"/>
        <v>very high</v>
      </c>
      <c r="M629" t="s">
        <v>36</v>
      </c>
      <c r="O629" t="s">
        <v>968</v>
      </c>
      <c r="P629" s="7">
        <v>44867</v>
      </c>
      <c r="Q629" s="7">
        <v>44867</v>
      </c>
    </row>
    <row r="630" spans="1:17" x14ac:dyDescent="0.25">
      <c r="A630" t="s">
        <v>488</v>
      </c>
      <c r="B630">
        <v>11095588</v>
      </c>
      <c r="D630">
        <v>45</v>
      </c>
      <c r="G630">
        <v>98</v>
      </c>
      <c r="H630">
        <v>104</v>
      </c>
      <c r="I630" t="s">
        <v>689</v>
      </c>
      <c r="J630">
        <v>92</v>
      </c>
      <c r="K630">
        <v>420</v>
      </c>
      <c r="L630" t="str">
        <f t="shared" si="88"/>
        <v>very high</v>
      </c>
      <c r="M630" t="s">
        <v>36</v>
      </c>
      <c r="P630" s="7">
        <v>44836</v>
      </c>
      <c r="Q630" s="7">
        <v>44867</v>
      </c>
    </row>
    <row r="631" spans="1:17" x14ac:dyDescent="0.25">
      <c r="A631" t="s">
        <v>690</v>
      </c>
      <c r="B631">
        <v>1117719</v>
      </c>
      <c r="D631">
        <v>55</v>
      </c>
      <c r="G631">
        <v>98</v>
      </c>
      <c r="H631">
        <v>78</v>
      </c>
      <c r="I631" t="s">
        <v>691</v>
      </c>
      <c r="J631">
        <v>97</v>
      </c>
      <c r="K631">
        <v>120</v>
      </c>
      <c r="L631" t="str">
        <f t="shared" si="88"/>
        <v>normal</v>
      </c>
      <c r="O631" t="s">
        <v>967</v>
      </c>
      <c r="P631" s="7">
        <v>44897</v>
      </c>
      <c r="Q631" s="7">
        <v>44897</v>
      </c>
    </row>
    <row r="632" spans="1:17" hidden="1" x14ac:dyDescent="0.25">
      <c r="A632" t="s">
        <v>692</v>
      </c>
      <c r="B632">
        <v>1117604</v>
      </c>
      <c r="D632">
        <v>45</v>
      </c>
      <c r="G632">
        <v>98</v>
      </c>
      <c r="H632">
        <v>42</v>
      </c>
      <c r="J632">
        <v>66</v>
      </c>
      <c r="K632">
        <v>76</v>
      </c>
      <c r="O632" t="s">
        <v>967</v>
      </c>
      <c r="P632" s="7">
        <v>44897</v>
      </c>
      <c r="Q632" s="7">
        <v>44897</v>
      </c>
    </row>
    <row r="633" spans="1:17" x14ac:dyDescent="0.25">
      <c r="A633" t="s">
        <v>311</v>
      </c>
      <c r="B633">
        <v>1166295</v>
      </c>
      <c r="D633">
        <v>60</v>
      </c>
      <c r="G633">
        <v>98</v>
      </c>
      <c r="H633">
        <v>120</v>
      </c>
      <c r="I633" t="s">
        <v>96</v>
      </c>
      <c r="J633">
        <v>87</v>
      </c>
      <c r="K633">
        <v>513</v>
      </c>
      <c r="L633" t="str">
        <f>IF(K633:K1631&lt;=79,"sweet",IF(K633:K1631&lt;=120,"normal",IF(K633:K1631&lt;=250,"high",IF(K633:K1631&lt;=1000,"very high"))))</f>
        <v>very high</v>
      </c>
      <c r="P633" s="7">
        <v>44775</v>
      </c>
      <c r="Q633" s="7">
        <v>44775</v>
      </c>
    </row>
    <row r="634" spans="1:17" hidden="1" x14ac:dyDescent="0.25">
      <c r="A634" t="s">
        <v>693</v>
      </c>
      <c r="B634">
        <v>11168202</v>
      </c>
      <c r="D634">
        <v>60</v>
      </c>
      <c r="G634">
        <v>98</v>
      </c>
      <c r="H634">
        <v>70</v>
      </c>
      <c r="I634" t="s">
        <v>47</v>
      </c>
      <c r="J634">
        <v>82</v>
      </c>
      <c r="O634" t="s">
        <v>967</v>
      </c>
      <c r="P634" s="7">
        <v>44867</v>
      </c>
      <c r="Q634" s="7">
        <v>44867</v>
      </c>
    </row>
    <row r="635" spans="1:17" x14ac:dyDescent="0.25">
      <c r="A635" t="s">
        <v>694</v>
      </c>
      <c r="B635">
        <v>1119457</v>
      </c>
      <c r="D635">
        <v>65</v>
      </c>
      <c r="G635">
        <v>98</v>
      </c>
      <c r="H635">
        <v>120</v>
      </c>
      <c r="I635" t="s">
        <v>695</v>
      </c>
      <c r="J635">
        <v>92</v>
      </c>
      <c r="K635">
        <v>248</v>
      </c>
      <c r="L635" t="str">
        <f t="shared" ref="L635:L636" si="89">IF(K635:K1633&lt;=79,"sweet",IF(K635:K1633&lt;=120,"normal",IF(K635:K1633&lt;=250,"high",IF(K635:K1633&lt;=1000,"very high"))))</f>
        <v>high</v>
      </c>
      <c r="P635" s="7">
        <v>44897</v>
      </c>
      <c r="Q635" s="7">
        <v>44897</v>
      </c>
    </row>
    <row r="636" spans="1:17" x14ac:dyDescent="0.25">
      <c r="A636" t="s">
        <v>696</v>
      </c>
      <c r="B636">
        <v>112048</v>
      </c>
      <c r="D636">
        <v>55</v>
      </c>
      <c r="G636">
        <v>98</v>
      </c>
      <c r="H636">
        <v>95</v>
      </c>
      <c r="I636" t="s">
        <v>697</v>
      </c>
      <c r="J636">
        <v>91</v>
      </c>
      <c r="K636">
        <v>940</v>
      </c>
      <c r="L636" t="str">
        <f t="shared" si="89"/>
        <v>very high</v>
      </c>
      <c r="M636" t="s">
        <v>36</v>
      </c>
      <c r="N636" t="s">
        <v>974</v>
      </c>
      <c r="P636" s="7">
        <v>44897</v>
      </c>
      <c r="Q636" s="7">
        <v>44897</v>
      </c>
    </row>
    <row r="637" spans="1:17" hidden="1" x14ac:dyDescent="0.25">
      <c r="A637" t="s">
        <v>698</v>
      </c>
      <c r="B637">
        <v>1121570</v>
      </c>
      <c r="D637">
        <v>80</v>
      </c>
      <c r="G637">
        <v>98</v>
      </c>
      <c r="H637">
        <v>65</v>
      </c>
      <c r="I637" t="s">
        <v>28</v>
      </c>
      <c r="J637">
        <v>93</v>
      </c>
      <c r="P637" s="7">
        <v>44897</v>
      </c>
      <c r="Q637" s="7">
        <v>44897</v>
      </c>
    </row>
    <row r="638" spans="1:17" x14ac:dyDescent="0.25">
      <c r="A638" t="s">
        <v>699</v>
      </c>
      <c r="B638">
        <v>1121646</v>
      </c>
      <c r="D638">
        <v>71</v>
      </c>
      <c r="G638">
        <v>98</v>
      </c>
      <c r="H638">
        <v>67</v>
      </c>
      <c r="I638" t="s">
        <v>700</v>
      </c>
      <c r="J638">
        <v>69</v>
      </c>
      <c r="K638">
        <v>175</v>
      </c>
      <c r="L638" t="str">
        <f>IF(K638:K1636&lt;=79,"sweet",IF(K638:K1636&lt;=120,"normal",IF(K638:K1636&lt;=250,"high",IF(K638:K1636&lt;=1000,"very high"))))</f>
        <v>high</v>
      </c>
      <c r="P638" s="7" t="s">
        <v>552</v>
      </c>
      <c r="Q638" s="7" t="s">
        <v>552</v>
      </c>
    </row>
    <row r="639" spans="1:17" hidden="1" x14ac:dyDescent="0.25">
      <c r="A639" t="s">
        <v>641</v>
      </c>
      <c r="B639">
        <v>1121946</v>
      </c>
      <c r="D639">
        <v>60</v>
      </c>
      <c r="G639">
        <v>98</v>
      </c>
      <c r="H639">
        <v>90</v>
      </c>
      <c r="I639" t="s">
        <v>79</v>
      </c>
      <c r="J639">
        <v>99</v>
      </c>
      <c r="P639" s="7" t="s">
        <v>552</v>
      </c>
      <c r="Q639" s="7" t="s">
        <v>552</v>
      </c>
    </row>
    <row r="640" spans="1:17" x14ac:dyDescent="0.25">
      <c r="A640" t="s">
        <v>701</v>
      </c>
      <c r="B640">
        <v>1121960</v>
      </c>
      <c r="D640">
        <v>55</v>
      </c>
      <c r="G640">
        <v>98</v>
      </c>
      <c r="H640">
        <v>89</v>
      </c>
      <c r="I640" t="s">
        <v>119</v>
      </c>
      <c r="J640">
        <v>80</v>
      </c>
      <c r="K640">
        <v>178</v>
      </c>
      <c r="L640" t="str">
        <f t="shared" ref="L640:L641" si="90">IF(K640:K1638&lt;=79,"sweet",IF(K640:K1638&lt;=120,"normal",IF(K640:K1638&lt;=250,"high",IF(K640:K1638&lt;=1000,"very high"))))</f>
        <v>high</v>
      </c>
      <c r="P640" s="7" t="s">
        <v>552</v>
      </c>
      <c r="Q640" s="7" t="s">
        <v>552</v>
      </c>
    </row>
    <row r="641" spans="1:17" x14ac:dyDescent="0.25">
      <c r="A641" t="s">
        <v>702</v>
      </c>
      <c r="B641">
        <v>1122094</v>
      </c>
      <c r="D641">
        <v>60</v>
      </c>
      <c r="G641">
        <v>98</v>
      </c>
      <c r="H641">
        <v>143</v>
      </c>
      <c r="I641" t="s">
        <v>703</v>
      </c>
      <c r="J641">
        <v>94</v>
      </c>
      <c r="K641">
        <v>138</v>
      </c>
      <c r="L641" t="str">
        <f t="shared" si="90"/>
        <v>high</v>
      </c>
      <c r="O641" t="s">
        <v>967</v>
      </c>
      <c r="P641" s="7" t="s">
        <v>552</v>
      </c>
      <c r="Q641" s="7" t="s">
        <v>550</v>
      </c>
    </row>
    <row r="642" spans="1:17" hidden="1" x14ac:dyDescent="0.25">
      <c r="A642" t="s">
        <v>704</v>
      </c>
      <c r="B642">
        <v>1123770</v>
      </c>
      <c r="D642">
        <v>12</v>
      </c>
      <c r="G642">
        <v>98</v>
      </c>
      <c r="H642">
        <v>86</v>
      </c>
      <c r="I642" t="s">
        <v>74</v>
      </c>
      <c r="P642" s="7" t="s">
        <v>550</v>
      </c>
      <c r="Q642" s="7" t="s">
        <v>550</v>
      </c>
    </row>
    <row r="643" spans="1:17" hidden="1" x14ac:dyDescent="0.25">
      <c r="A643" t="s">
        <v>705</v>
      </c>
      <c r="B643">
        <v>1123553</v>
      </c>
      <c r="D643">
        <v>40</v>
      </c>
      <c r="G643">
        <v>98</v>
      </c>
      <c r="H643">
        <v>96</v>
      </c>
      <c r="I643" t="s">
        <v>96</v>
      </c>
      <c r="J643">
        <v>99</v>
      </c>
      <c r="K643">
        <v>79</v>
      </c>
      <c r="P643" s="7" t="s">
        <v>550</v>
      </c>
      <c r="Q643" s="7" t="s">
        <v>550</v>
      </c>
    </row>
    <row r="644" spans="1:17" hidden="1" x14ac:dyDescent="0.25">
      <c r="A644" t="s">
        <v>706</v>
      </c>
      <c r="B644">
        <v>1122263</v>
      </c>
      <c r="C644" t="s">
        <v>707</v>
      </c>
      <c r="D644">
        <v>60</v>
      </c>
      <c r="G644">
        <v>98</v>
      </c>
      <c r="H644">
        <v>69</v>
      </c>
      <c r="I644" t="s">
        <v>708</v>
      </c>
      <c r="P644" s="7" t="s">
        <v>550</v>
      </c>
      <c r="Q644" s="7" t="s">
        <v>552</v>
      </c>
    </row>
    <row r="645" spans="1:17" x14ac:dyDescent="0.25">
      <c r="A645" t="s">
        <v>709</v>
      </c>
      <c r="B645">
        <v>1124464</v>
      </c>
      <c r="D645">
        <v>71</v>
      </c>
      <c r="G645">
        <v>98</v>
      </c>
      <c r="H645">
        <v>100</v>
      </c>
      <c r="I645" t="s">
        <v>710</v>
      </c>
      <c r="J645">
        <v>83</v>
      </c>
      <c r="K645">
        <v>82</v>
      </c>
      <c r="L645" t="str">
        <f t="shared" ref="L645:L647" si="91">IF(K645:K1643&lt;=79,"sweet",IF(K645:K1643&lt;=120,"normal",IF(K645:K1643&lt;=250,"high",IF(K645:K1643&lt;=1000,"very high"))))</f>
        <v>normal</v>
      </c>
      <c r="P645" s="7" t="s">
        <v>550</v>
      </c>
      <c r="Q645" s="7" t="s">
        <v>550</v>
      </c>
    </row>
    <row r="646" spans="1:17" x14ac:dyDescent="0.25">
      <c r="A646" t="s">
        <v>207</v>
      </c>
      <c r="B646">
        <v>1121865</v>
      </c>
      <c r="D646">
        <v>65</v>
      </c>
      <c r="G646">
        <v>98</v>
      </c>
      <c r="H646">
        <v>83</v>
      </c>
      <c r="I646" t="s">
        <v>296</v>
      </c>
      <c r="J646">
        <v>100</v>
      </c>
      <c r="K646">
        <v>104</v>
      </c>
      <c r="L646" t="str">
        <f t="shared" si="91"/>
        <v>normal</v>
      </c>
      <c r="P646" s="7" t="s">
        <v>550</v>
      </c>
      <c r="Q646" s="7" t="s">
        <v>550</v>
      </c>
    </row>
    <row r="647" spans="1:17" x14ac:dyDescent="0.25">
      <c r="A647" t="s">
        <v>297</v>
      </c>
      <c r="B647">
        <v>1164689</v>
      </c>
      <c r="D647">
        <v>60</v>
      </c>
      <c r="G647">
        <v>98</v>
      </c>
      <c r="H647">
        <v>88</v>
      </c>
      <c r="I647" t="s">
        <v>298</v>
      </c>
      <c r="J647">
        <v>102</v>
      </c>
      <c r="K647">
        <v>189</v>
      </c>
      <c r="L647" t="str">
        <f t="shared" si="91"/>
        <v>high</v>
      </c>
      <c r="P647" s="7" t="s">
        <v>550</v>
      </c>
      <c r="Q647" s="7" t="s">
        <v>550</v>
      </c>
    </row>
    <row r="648" spans="1:17" hidden="1" x14ac:dyDescent="0.25">
      <c r="A648" t="s">
        <v>299</v>
      </c>
      <c r="B648">
        <v>1168669</v>
      </c>
      <c r="D648">
        <v>60</v>
      </c>
      <c r="G648">
        <v>98</v>
      </c>
      <c r="H648">
        <v>95</v>
      </c>
      <c r="I648" t="s">
        <v>194</v>
      </c>
      <c r="J648">
        <v>24</v>
      </c>
      <c r="P648" s="7" t="s">
        <v>550</v>
      </c>
      <c r="Q648" s="7" t="s">
        <v>550</v>
      </c>
    </row>
    <row r="649" spans="1:17" x14ac:dyDescent="0.25">
      <c r="A649" t="s">
        <v>300</v>
      </c>
      <c r="B649">
        <v>1165495</v>
      </c>
      <c r="D649">
        <v>45</v>
      </c>
      <c r="G649">
        <v>98</v>
      </c>
      <c r="H649">
        <v>79</v>
      </c>
      <c r="I649" t="s">
        <v>301</v>
      </c>
      <c r="J649">
        <v>98</v>
      </c>
      <c r="K649">
        <v>252</v>
      </c>
      <c r="L649" t="str">
        <f t="shared" ref="L649:L653" si="92">IF(K649:K1647&lt;=79,"sweet",IF(K649:K1647&lt;=120,"normal",IF(K649:K1647&lt;=250,"high",IF(K649:K1647&lt;=1000,"very high"))))</f>
        <v>very high</v>
      </c>
      <c r="P649" s="7" t="s">
        <v>550</v>
      </c>
      <c r="Q649" s="7" t="s">
        <v>550</v>
      </c>
    </row>
    <row r="650" spans="1:17" x14ac:dyDescent="0.25">
      <c r="A650" t="s">
        <v>48</v>
      </c>
      <c r="B650">
        <v>1164795</v>
      </c>
      <c r="D650">
        <v>27</v>
      </c>
      <c r="G650">
        <v>98</v>
      </c>
      <c r="H650">
        <v>80</v>
      </c>
      <c r="I650" t="s">
        <v>302</v>
      </c>
      <c r="J650">
        <v>80</v>
      </c>
      <c r="K650">
        <v>96</v>
      </c>
      <c r="L650" t="str">
        <f t="shared" si="92"/>
        <v>normal</v>
      </c>
      <c r="P650" s="7" t="s">
        <v>550</v>
      </c>
      <c r="Q650" s="7" t="s">
        <v>550</v>
      </c>
    </row>
    <row r="651" spans="1:17" x14ac:dyDescent="0.25">
      <c r="A651" t="s">
        <v>641</v>
      </c>
      <c r="B651">
        <v>1076135</v>
      </c>
      <c r="D651">
        <v>45</v>
      </c>
      <c r="G651">
        <v>98</v>
      </c>
      <c r="H651">
        <v>80</v>
      </c>
      <c r="I651" t="s">
        <v>711</v>
      </c>
      <c r="J651">
        <v>85</v>
      </c>
      <c r="K651">
        <v>94</v>
      </c>
      <c r="L651" t="str">
        <f t="shared" si="92"/>
        <v>normal</v>
      </c>
      <c r="P651" s="7">
        <v>44563</v>
      </c>
      <c r="Q651" s="7">
        <v>44563</v>
      </c>
    </row>
    <row r="652" spans="1:17" x14ac:dyDescent="0.25">
      <c r="A652" t="s">
        <v>712</v>
      </c>
      <c r="B652">
        <v>181367</v>
      </c>
      <c r="D652">
        <v>55</v>
      </c>
      <c r="G652">
        <v>98</v>
      </c>
      <c r="H652">
        <v>96</v>
      </c>
      <c r="I652" t="s">
        <v>43</v>
      </c>
      <c r="J652">
        <v>99</v>
      </c>
      <c r="K652">
        <v>533</v>
      </c>
      <c r="L652" t="str">
        <f t="shared" si="92"/>
        <v>very high</v>
      </c>
      <c r="P652" s="7">
        <v>44563</v>
      </c>
      <c r="Q652" s="7">
        <v>44563</v>
      </c>
    </row>
    <row r="653" spans="1:17" x14ac:dyDescent="0.25">
      <c r="A653" t="s">
        <v>713</v>
      </c>
      <c r="B653">
        <v>1080187</v>
      </c>
      <c r="D653">
        <v>60</v>
      </c>
      <c r="G653">
        <v>98</v>
      </c>
      <c r="H653">
        <v>104</v>
      </c>
      <c r="I653" t="s">
        <v>304</v>
      </c>
      <c r="J653">
        <v>99</v>
      </c>
      <c r="K653">
        <v>371</v>
      </c>
      <c r="L653" t="str">
        <f t="shared" si="92"/>
        <v>very high</v>
      </c>
      <c r="O653" t="s">
        <v>977</v>
      </c>
      <c r="P653" s="7">
        <v>44563</v>
      </c>
      <c r="Q653" s="7">
        <v>44563</v>
      </c>
    </row>
    <row r="654" spans="1:17" hidden="1" x14ac:dyDescent="0.25">
      <c r="A654" t="s">
        <v>714</v>
      </c>
      <c r="B654">
        <v>1080690</v>
      </c>
      <c r="D654">
        <v>60</v>
      </c>
      <c r="G654">
        <v>98</v>
      </c>
      <c r="H654">
        <v>134</v>
      </c>
      <c r="I654" t="s">
        <v>53</v>
      </c>
      <c r="J654">
        <v>83</v>
      </c>
      <c r="P654" s="7">
        <v>44563</v>
      </c>
      <c r="Q654" s="7">
        <v>44563</v>
      </c>
    </row>
    <row r="655" spans="1:17" x14ac:dyDescent="0.25">
      <c r="A655" t="s">
        <v>715</v>
      </c>
      <c r="B655">
        <v>1080622</v>
      </c>
      <c r="D655">
        <v>55</v>
      </c>
      <c r="G655">
        <v>98</v>
      </c>
      <c r="H655">
        <v>117</v>
      </c>
      <c r="I655" t="s">
        <v>716</v>
      </c>
      <c r="J655">
        <v>77</v>
      </c>
      <c r="K655">
        <v>390</v>
      </c>
      <c r="L655" t="str">
        <f t="shared" ref="L655:L658" si="93">IF(K655:K1653&lt;=79,"sweet",IF(K655:K1653&lt;=120,"normal",IF(K655:K1653&lt;=250,"high",IF(K655:K1653&lt;=1000,"very high"))))</f>
        <v>very high</v>
      </c>
      <c r="O655" t="s">
        <v>967</v>
      </c>
      <c r="P655" s="7">
        <v>44563</v>
      </c>
      <c r="Q655" s="7">
        <v>44563</v>
      </c>
    </row>
    <row r="656" spans="1:17" x14ac:dyDescent="0.25">
      <c r="A656" t="s">
        <v>717</v>
      </c>
      <c r="B656">
        <v>1076140</v>
      </c>
      <c r="D656">
        <v>55</v>
      </c>
      <c r="G656">
        <v>98</v>
      </c>
      <c r="H656">
        <v>125</v>
      </c>
      <c r="I656" t="s">
        <v>74</v>
      </c>
      <c r="J656">
        <v>92</v>
      </c>
      <c r="K656">
        <v>140</v>
      </c>
      <c r="L656" t="str">
        <f t="shared" si="93"/>
        <v>high</v>
      </c>
      <c r="P656" s="7">
        <v>44563</v>
      </c>
      <c r="Q656" s="7">
        <v>44563</v>
      </c>
    </row>
    <row r="657" spans="1:17" x14ac:dyDescent="0.25">
      <c r="A657" t="s">
        <v>718</v>
      </c>
      <c r="B657">
        <v>1081380</v>
      </c>
      <c r="D657">
        <v>60</v>
      </c>
      <c r="G657">
        <v>98</v>
      </c>
      <c r="H657">
        <v>100</v>
      </c>
      <c r="I657" t="s">
        <v>79</v>
      </c>
      <c r="J657">
        <v>91</v>
      </c>
      <c r="K657">
        <v>281</v>
      </c>
      <c r="L657" t="str">
        <f t="shared" si="93"/>
        <v>very high</v>
      </c>
      <c r="O657" t="s">
        <v>967</v>
      </c>
      <c r="P657" s="7">
        <v>44563</v>
      </c>
      <c r="Q657" s="7">
        <v>44563</v>
      </c>
    </row>
    <row r="658" spans="1:17" x14ac:dyDescent="0.25">
      <c r="A658" t="s">
        <v>719</v>
      </c>
      <c r="B658">
        <v>1083878</v>
      </c>
      <c r="D658">
        <v>28</v>
      </c>
      <c r="G658">
        <v>98</v>
      </c>
      <c r="H658">
        <v>150</v>
      </c>
      <c r="I658" t="s">
        <v>720</v>
      </c>
      <c r="J658">
        <v>95</v>
      </c>
      <c r="K658">
        <v>106</v>
      </c>
      <c r="L658" t="str">
        <f t="shared" si="93"/>
        <v>normal</v>
      </c>
      <c r="P658" s="7">
        <v>44563</v>
      </c>
      <c r="Q658" s="7">
        <v>44594</v>
      </c>
    </row>
    <row r="659" spans="1:17" hidden="1" x14ac:dyDescent="0.25">
      <c r="A659" t="s">
        <v>721</v>
      </c>
      <c r="B659">
        <v>1081164</v>
      </c>
      <c r="D659">
        <v>55</v>
      </c>
      <c r="G659">
        <v>98</v>
      </c>
      <c r="H659">
        <v>88</v>
      </c>
      <c r="I659" t="s">
        <v>722</v>
      </c>
      <c r="O659" t="s">
        <v>967</v>
      </c>
      <c r="P659" s="7">
        <v>44563</v>
      </c>
      <c r="Q659" s="7">
        <v>44594</v>
      </c>
    </row>
    <row r="660" spans="1:17" x14ac:dyDescent="0.25">
      <c r="A660" s="4" t="s">
        <v>723</v>
      </c>
      <c r="B660">
        <v>1070145</v>
      </c>
      <c r="D660">
        <v>60</v>
      </c>
      <c r="G660">
        <v>98</v>
      </c>
      <c r="H660">
        <v>81</v>
      </c>
      <c r="I660" t="s">
        <v>724</v>
      </c>
      <c r="J660">
        <v>100</v>
      </c>
      <c r="K660">
        <v>244</v>
      </c>
      <c r="L660" t="str">
        <f>IF(K660:K1658&lt;=79,"sweet",IF(K660:K1658&lt;=120,"normal",IF(K660:K1658&lt;=250,"high",IF(K660:K1658&lt;=1000,"very high"))))</f>
        <v>high</v>
      </c>
      <c r="P660" s="7">
        <v>44563</v>
      </c>
      <c r="Q660" s="7">
        <v>44594</v>
      </c>
    </row>
    <row r="661" spans="1:17" hidden="1" x14ac:dyDescent="0.25">
      <c r="A661" t="s">
        <v>725</v>
      </c>
      <c r="B661">
        <v>1078526</v>
      </c>
      <c r="D661">
        <v>52</v>
      </c>
      <c r="G661">
        <v>98</v>
      </c>
      <c r="H661">
        <v>40</v>
      </c>
      <c r="I661" t="s">
        <v>726</v>
      </c>
      <c r="J661">
        <v>83</v>
      </c>
      <c r="P661" s="7">
        <v>44594</v>
      </c>
      <c r="Q661" s="7">
        <v>44594</v>
      </c>
    </row>
    <row r="662" spans="1:17" x14ac:dyDescent="0.25">
      <c r="A662" t="s">
        <v>727</v>
      </c>
      <c r="B662">
        <v>1082518</v>
      </c>
      <c r="D662">
        <v>45</v>
      </c>
      <c r="G662">
        <v>98</v>
      </c>
      <c r="H662">
        <v>52</v>
      </c>
      <c r="I662" s="5" t="s">
        <v>28</v>
      </c>
      <c r="J662">
        <v>99</v>
      </c>
      <c r="K662">
        <v>99</v>
      </c>
      <c r="L662" t="str">
        <f t="shared" ref="L662:L663" si="94">IF(K662:K1660&lt;=79,"sweet",IF(K662:K1660&lt;=120,"normal",IF(K662:K1660&lt;=250,"high",IF(K662:K1660&lt;=1000,"very high"))))</f>
        <v>normal</v>
      </c>
      <c r="O662" t="s">
        <v>968</v>
      </c>
      <c r="P662" s="7">
        <v>44594</v>
      </c>
      <c r="Q662" s="7">
        <v>44594</v>
      </c>
    </row>
    <row r="663" spans="1:17" x14ac:dyDescent="0.25">
      <c r="A663" t="s">
        <v>728</v>
      </c>
      <c r="B663">
        <v>1065922</v>
      </c>
      <c r="D663">
        <v>14</v>
      </c>
      <c r="G663">
        <v>98</v>
      </c>
      <c r="H663">
        <v>116</v>
      </c>
      <c r="I663" t="s">
        <v>53</v>
      </c>
      <c r="J663">
        <v>62</v>
      </c>
      <c r="K663">
        <v>99</v>
      </c>
      <c r="L663" t="str">
        <f t="shared" si="94"/>
        <v>normal</v>
      </c>
      <c r="P663" s="7">
        <v>44594</v>
      </c>
      <c r="Q663" s="7">
        <v>44594</v>
      </c>
    </row>
    <row r="664" spans="1:17" hidden="1" x14ac:dyDescent="0.25">
      <c r="A664" t="s">
        <v>597</v>
      </c>
      <c r="B664">
        <v>1088950</v>
      </c>
      <c r="D664">
        <v>60</v>
      </c>
      <c r="G664">
        <v>98</v>
      </c>
      <c r="I664" t="s">
        <v>254</v>
      </c>
      <c r="J664">
        <v>64</v>
      </c>
      <c r="O664" t="s">
        <v>967</v>
      </c>
      <c r="P664" s="7">
        <v>44622</v>
      </c>
      <c r="Q664" s="7">
        <v>44622</v>
      </c>
    </row>
    <row r="665" spans="1:17" hidden="1" x14ac:dyDescent="0.25">
      <c r="A665" t="s">
        <v>729</v>
      </c>
      <c r="B665">
        <v>1088709</v>
      </c>
      <c r="D665">
        <v>71</v>
      </c>
      <c r="G665">
        <v>98</v>
      </c>
      <c r="H665">
        <v>60</v>
      </c>
      <c r="I665" t="s">
        <v>444</v>
      </c>
      <c r="J665">
        <v>94</v>
      </c>
      <c r="K665">
        <v>27</v>
      </c>
      <c r="O665" t="s">
        <v>967</v>
      </c>
      <c r="P665" s="7">
        <v>44622</v>
      </c>
      <c r="Q665" s="7">
        <v>44622</v>
      </c>
    </row>
    <row r="666" spans="1:17" x14ac:dyDescent="0.25">
      <c r="A666" t="s">
        <v>730</v>
      </c>
      <c r="B666">
        <v>1088390</v>
      </c>
      <c r="D666">
        <v>80</v>
      </c>
      <c r="G666">
        <v>98</v>
      </c>
      <c r="H666">
        <v>91</v>
      </c>
      <c r="I666" t="s">
        <v>731</v>
      </c>
      <c r="J666">
        <v>93</v>
      </c>
      <c r="K666">
        <v>226</v>
      </c>
      <c r="L666" t="str">
        <f>IF(K666:K1664&lt;=79,"sweet",IF(K666:K1664&lt;=120,"normal",IF(K666:K1664&lt;=250,"high",IF(K666:K1664&lt;=1000,"very high"))))</f>
        <v>high</v>
      </c>
      <c r="P666" s="7">
        <v>44622</v>
      </c>
      <c r="Q666" s="7">
        <v>44622</v>
      </c>
    </row>
    <row r="667" spans="1:17" hidden="1" x14ac:dyDescent="0.25">
      <c r="A667" t="s">
        <v>488</v>
      </c>
      <c r="B667">
        <v>1085177</v>
      </c>
      <c r="D667">
        <v>50</v>
      </c>
      <c r="G667">
        <v>98</v>
      </c>
      <c r="H667">
        <v>90</v>
      </c>
      <c r="I667" t="s">
        <v>47</v>
      </c>
      <c r="J667">
        <v>98</v>
      </c>
      <c r="O667" t="s">
        <v>967</v>
      </c>
      <c r="P667" s="7">
        <v>44655</v>
      </c>
      <c r="Q667" s="7">
        <v>44655</v>
      </c>
    </row>
    <row r="668" spans="1:17" hidden="1" x14ac:dyDescent="0.25">
      <c r="A668" t="s">
        <v>413</v>
      </c>
      <c r="B668">
        <v>1091971</v>
      </c>
      <c r="D668">
        <v>45</v>
      </c>
      <c r="G668">
        <v>98</v>
      </c>
      <c r="H668">
        <v>110</v>
      </c>
      <c r="I668" t="s">
        <v>74</v>
      </c>
      <c r="J668">
        <v>85</v>
      </c>
      <c r="P668" s="7">
        <v>44655</v>
      </c>
      <c r="Q668" s="7">
        <v>44655</v>
      </c>
    </row>
    <row r="669" spans="1:17" hidden="1" x14ac:dyDescent="0.25">
      <c r="A669" t="s">
        <v>732</v>
      </c>
      <c r="B669">
        <v>1092569</v>
      </c>
      <c r="D669">
        <v>45</v>
      </c>
      <c r="G669">
        <v>98</v>
      </c>
      <c r="H669">
        <v>88</v>
      </c>
      <c r="I669" t="s">
        <v>154</v>
      </c>
      <c r="P669" s="7">
        <v>44655</v>
      </c>
      <c r="Q669" s="7">
        <v>44655</v>
      </c>
    </row>
    <row r="670" spans="1:17" hidden="1" x14ac:dyDescent="0.25">
      <c r="A670" t="s">
        <v>292</v>
      </c>
      <c r="B670">
        <v>1092485</v>
      </c>
      <c r="D670">
        <v>65</v>
      </c>
      <c r="G670">
        <v>98</v>
      </c>
      <c r="H670">
        <v>45</v>
      </c>
      <c r="I670" t="s">
        <v>733</v>
      </c>
      <c r="J670">
        <v>45</v>
      </c>
      <c r="P670" s="7">
        <v>44655</v>
      </c>
      <c r="Q670" s="7">
        <v>44655</v>
      </c>
    </row>
    <row r="671" spans="1:17" hidden="1" x14ac:dyDescent="0.25">
      <c r="A671" t="s">
        <v>734</v>
      </c>
      <c r="B671">
        <v>109255</v>
      </c>
      <c r="D671">
        <v>14</v>
      </c>
      <c r="G671">
        <v>98</v>
      </c>
      <c r="I671" t="s">
        <v>618</v>
      </c>
      <c r="O671" t="s">
        <v>967</v>
      </c>
      <c r="P671" s="7">
        <v>44655</v>
      </c>
      <c r="Q671" s="7">
        <v>44655</v>
      </c>
    </row>
    <row r="672" spans="1:17" hidden="1" x14ac:dyDescent="0.25">
      <c r="A672" t="s">
        <v>269</v>
      </c>
      <c r="B672">
        <v>1093027</v>
      </c>
      <c r="D672">
        <v>85</v>
      </c>
      <c r="G672">
        <v>98</v>
      </c>
      <c r="I672" t="s">
        <v>735</v>
      </c>
      <c r="P672" s="7">
        <v>44683</v>
      </c>
      <c r="Q672" s="7">
        <v>44683</v>
      </c>
    </row>
    <row r="673" spans="1:17" x14ac:dyDescent="0.25">
      <c r="A673" t="s">
        <v>641</v>
      </c>
      <c r="B673">
        <v>1093054</v>
      </c>
      <c r="D673">
        <v>71</v>
      </c>
      <c r="G673">
        <v>98</v>
      </c>
      <c r="H673">
        <v>110</v>
      </c>
      <c r="I673" t="s">
        <v>736</v>
      </c>
      <c r="J673">
        <v>78</v>
      </c>
      <c r="K673">
        <v>188</v>
      </c>
      <c r="L673" t="str">
        <f>IF(K673:K1671&lt;=79,"sweet",IF(K673:K1671&lt;=120,"normal",IF(K673:K1671&lt;=250,"high",IF(K673:K1671&lt;=1000,"very high"))))</f>
        <v>high</v>
      </c>
      <c r="O673" t="s">
        <v>967</v>
      </c>
      <c r="P673" s="7">
        <v>44683</v>
      </c>
      <c r="Q673" s="7">
        <v>44683</v>
      </c>
    </row>
    <row r="674" spans="1:17" hidden="1" x14ac:dyDescent="0.25">
      <c r="A674" t="s">
        <v>385</v>
      </c>
      <c r="B674">
        <v>1093451</v>
      </c>
      <c r="D674">
        <v>45</v>
      </c>
      <c r="G674">
        <v>98</v>
      </c>
      <c r="I674" t="s">
        <v>92</v>
      </c>
      <c r="J674">
        <v>77</v>
      </c>
      <c r="P674" s="7">
        <v>44683</v>
      </c>
      <c r="Q674" s="7">
        <v>44683</v>
      </c>
    </row>
    <row r="675" spans="1:17" x14ac:dyDescent="0.25">
      <c r="A675" t="s">
        <v>737</v>
      </c>
      <c r="B675">
        <v>1094130</v>
      </c>
      <c r="D675">
        <v>67</v>
      </c>
      <c r="G675">
        <v>98</v>
      </c>
      <c r="H675">
        <v>85</v>
      </c>
      <c r="I675" t="s">
        <v>96</v>
      </c>
      <c r="J675">
        <v>93</v>
      </c>
      <c r="K675">
        <v>130</v>
      </c>
      <c r="L675" t="str">
        <f>IF(K675:K1673&lt;=79,"sweet",IF(K675:K1673&lt;=120,"normal",IF(K675:K1673&lt;=250,"high",IF(K675:K1673&lt;=1000,"very high"))))</f>
        <v>high</v>
      </c>
      <c r="P675" s="7">
        <v>44683</v>
      </c>
      <c r="Q675" s="7">
        <v>44683</v>
      </c>
    </row>
    <row r="676" spans="1:17" hidden="1" x14ac:dyDescent="0.25">
      <c r="A676" t="s">
        <v>207</v>
      </c>
      <c r="B676">
        <v>1093346</v>
      </c>
      <c r="D676">
        <v>30</v>
      </c>
      <c r="G676">
        <v>98</v>
      </c>
      <c r="H676">
        <v>67</v>
      </c>
      <c r="I676" t="s">
        <v>6</v>
      </c>
      <c r="J676">
        <v>76</v>
      </c>
      <c r="O676" t="s">
        <v>968</v>
      </c>
      <c r="P676" s="7">
        <v>44683</v>
      </c>
      <c r="Q676" s="7">
        <v>44683</v>
      </c>
    </row>
    <row r="677" spans="1:17" x14ac:dyDescent="0.25">
      <c r="A677" t="s">
        <v>269</v>
      </c>
      <c r="B677">
        <v>1095240</v>
      </c>
      <c r="D677">
        <v>71</v>
      </c>
      <c r="G677">
        <v>98</v>
      </c>
      <c r="H677">
        <v>145</v>
      </c>
      <c r="I677" t="s">
        <v>738</v>
      </c>
      <c r="J677">
        <v>97</v>
      </c>
      <c r="K677">
        <v>304</v>
      </c>
      <c r="L677" t="str">
        <f t="shared" ref="L677:L679" si="95">IF(K677:K1675&lt;=79,"sweet",IF(K677:K1675&lt;=120,"normal",IF(K677:K1675&lt;=250,"high",IF(K677:K1675&lt;=1000,"very high"))))</f>
        <v>very high</v>
      </c>
      <c r="P677" s="7">
        <v>44683</v>
      </c>
      <c r="Q677" s="7">
        <v>44683</v>
      </c>
    </row>
    <row r="678" spans="1:17" x14ac:dyDescent="0.25">
      <c r="A678" t="s">
        <v>261</v>
      </c>
      <c r="B678">
        <v>1094342</v>
      </c>
      <c r="D678">
        <v>50</v>
      </c>
      <c r="G678">
        <v>98</v>
      </c>
      <c r="H678">
        <v>40</v>
      </c>
      <c r="I678" t="s">
        <v>739</v>
      </c>
      <c r="J678">
        <v>99</v>
      </c>
      <c r="K678">
        <v>114</v>
      </c>
      <c r="L678" t="str">
        <f t="shared" si="95"/>
        <v>normal</v>
      </c>
      <c r="O678" t="s">
        <v>967</v>
      </c>
      <c r="P678" s="7">
        <v>44683</v>
      </c>
      <c r="Q678" s="7">
        <v>44683</v>
      </c>
    </row>
    <row r="679" spans="1:17" x14ac:dyDescent="0.25">
      <c r="A679" t="s">
        <v>269</v>
      </c>
      <c r="B679">
        <v>1094529</v>
      </c>
      <c r="D679">
        <v>50</v>
      </c>
      <c r="G679">
        <v>98</v>
      </c>
      <c r="H679">
        <v>63</v>
      </c>
      <c r="I679" t="s">
        <v>740</v>
      </c>
      <c r="J679">
        <v>97</v>
      </c>
      <c r="K679">
        <v>92</v>
      </c>
      <c r="L679" t="str">
        <f t="shared" si="95"/>
        <v>normal</v>
      </c>
      <c r="O679" t="s">
        <v>967</v>
      </c>
      <c r="P679" s="7">
        <v>44714</v>
      </c>
      <c r="Q679" s="7">
        <v>44714</v>
      </c>
    </row>
    <row r="680" spans="1:17" hidden="1" x14ac:dyDescent="0.25">
      <c r="A680" t="s">
        <v>741</v>
      </c>
      <c r="B680">
        <v>1096578</v>
      </c>
      <c r="D680">
        <v>90</v>
      </c>
      <c r="G680">
        <v>98</v>
      </c>
      <c r="K680">
        <v>27</v>
      </c>
      <c r="M680" t="s">
        <v>969</v>
      </c>
      <c r="P680" s="7">
        <v>44714</v>
      </c>
      <c r="Q680" s="7">
        <v>44714</v>
      </c>
    </row>
    <row r="681" spans="1:17" hidden="1" x14ac:dyDescent="0.25">
      <c r="A681" t="s">
        <v>742</v>
      </c>
      <c r="B681">
        <v>1092066</v>
      </c>
      <c r="D681">
        <v>81</v>
      </c>
      <c r="G681">
        <v>98</v>
      </c>
      <c r="H681">
        <v>117</v>
      </c>
      <c r="I681" t="s">
        <v>743</v>
      </c>
      <c r="J681">
        <v>98</v>
      </c>
      <c r="K681">
        <v>72</v>
      </c>
      <c r="O681" t="s">
        <v>967</v>
      </c>
      <c r="P681" s="7">
        <v>44714</v>
      </c>
      <c r="Q681" s="7">
        <v>44714</v>
      </c>
    </row>
    <row r="682" spans="1:17" x14ac:dyDescent="0.25">
      <c r="A682" t="s">
        <v>744</v>
      </c>
      <c r="B682">
        <v>1096694</v>
      </c>
      <c r="D682">
        <v>22</v>
      </c>
      <c r="G682">
        <v>98</v>
      </c>
      <c r="H682">
        <v>90</v>
      </c>
      <c r="I682" t="s">
        <v>92</v>
      </c>
      <c r="J682">
        <v>97</v>
      </c>
      <c r="K682">
        <v>429</v>
      </c>
      <c r="L682" t="str">
        <f>IF(K682:K1680&lt;=79,"sweet",IF(K682:K1680&lt;=120,"normal",IF(K682:K1680&lt;=250,"high",IF(K682:K1680&lt;=1000,"very high"))))</f>
        <v>very high</v>
      </c>
      <c r="N682" t="s">
        <v>974</v>
      </c>
      <c r="P682" s="7">
        <v>44714</v>
      </c>
      <c r="Q682" s="7">
        <v>44714</v>
      </c>
    </row>
    <row r="683" spans="1:17" hidden="1" x14ac:dyDescent="0.25">
      <c r="A683" t="s">
        <v>745</v>
      </c>
      <c r="B683">
        <v>1095868</v>
      </c>
      <c r="D683">
        <v>35</v>
      </c>
      <c r="G683">
        <v>98</v>
      </c>
      <c r="H683">
        <v>108</v>
      </c>
      <c r="I683" t="s">
        <v>746</v>
      </c>
      <c r="J683">
        <v>95</v>
      </c>
      <c r="P683" s="7">
        <v>44714</v>
      </c>
      <c r="Q683" s="7">
        <v>44714</v>
      </c>
    </row>
    <row r="684" spans="1:17" x14ac:dyDescent="0.25">
      <c r="A684" t="s">
        <v>747</v>
      </c>
      <c r="B684">
        <v>1097309</v>
      </c>
      <c r="D684">
        <v>30</v>
      </c>
      <c r="G684">
        <v>98</v>
      </c>
      <c r="H684">
        <v>103</v>
      </c>
      <c r="I684" t="s">
        <v>161</v>
      </c>
      <c r="J684">
        <v>85</v>
      </c>
      <c r="K684">
        <v>140</v>
      </c>
      <c r="L684" t="str">
        <f>IF(K684:K1682&lt;=79,"sweet",IF(K684:K1682&lt;=120,"normal",IF(K684:K1682&lt;=250,"high",IF(K684:K1682&lt;=1000,"very high"))))</f>
        <v>high</v>
      </c>
      <c r="P684" s="7">
        <v>44714</v>
      </c>
      <c r="Q684" s="7">
        <v>44714</v>
      </c>
    </row>
    <row r="685" spans="1:17" hidden="1" x14ac:dyDescent="0.25">
      <c r="A685" t="s">
        <v>748</v>
      </c>
      <c r="B685">
        <v>1096855</v>
      </c>
      <c r="D685">
        <v>45</v>
      </c>
      <c r="G685">
        <v>98</v>
      </c>
      <c r="H685">
        <v>102</v>
      </c>
      <c r="I685" t="s">
        <v>6</v>
      </c>
      <c r="J685">
        <v>99</v>
      </c>
      <c r="K685">
        <v>36</v>
      </c>
      <c r="P685" s="7">
        <v>44714</v>
      </c>
      <c r="Q685" s="7">
        <v>44714</v>
      </c>
    </row>
    <row r="686" spans="1:17" x14ac:dyDescent="0.25">
      <c r="A686" t="s">
        <v>749</v>
      </c>
      <c r="B686">
        <v>1097710</v>
      </c>
      <c r="D686">
        <v>55</v>
      </c>
      <c r="G686">
        <v>98</v>
      </c>
      <c r="H686">
        <v>86</v>
      </c>
      <c r="I686" t="s">
        <v>639</v>
      </c>
      <c r="J686">
        <v>91</v>
      </c>
      <c r="K686">
        <v>220</v>
      </c>
      <c r="L686" t="str">
        <f>IF(K686:K1684&lt;=79,"sweet",IF(K686:K1684&lt;=120,"normal",IF(K686:K1684&lt;=250,"high",IF(K686:K1684&lt;=1000,"very high"))))</f>
        <v>high</v>
      </c>
      <c r="P686" s="7">
        <v>44744</v>
      </c>
      <c r="Q686" s="7">
        <v>44744</v>
      </c>
    </row>
    <row r="687" spans="1:17" hidden="1" x14ac:dyDescent="0.25">
      <c r="A687" t="s">
        <v>750</v>
      </c>
      <c r="B687">
        <v>1099800</v>
      </c>
      <c r="D687">
        <v>60</v>
      </c>
      <c r="G687">
        <v>98</v>
      </c>
      <c r="H687">
        <v>69</v>
      </c>
      <c r="I687" t="s">
        <v>3</v>
      </c>
      <c r="P687" s="7">
        <v>44744</v>
      </c>
      <c r="Q687" s="7">
        <v>44744</v>
      </c>
    </row>
    <row r="688" spans="1:17" x14ac:dyDescent="0.25">
      <c r="A688" t="s">
        <v>661</v>
      </c>
      <c r="B688">
        <v>1097642</v>
      </c>
      <c r="D688">
        <v>51</v>
      </c>
      <c r="G688">
        <v>98</v>
      </c>
      <c r="H688">
        <v>92</v>
      </c>
      <c r="I688" t="s">
        <v>751</v>
      </c>
      <c r="J688">
        <v>99</v>
      </c>
      <c r="K688">
        <v>161</v>
      </c>
      <c r="L688" t="str">
        <f t="shared" ref="L688:L689" si="96">IF(K688:K1686&lt;=79,"sweet",IF(K688:K1686&lt;=120,"normal",IF(K688:K1686&lt;=250,"high",IF(K688:K1686&lt;=1000,"very high"))))</f>
        <v>high</v>
      </c>
      <c r="O688" t="s">
        <v>967</v>
      </c>
      <c r="P688" s="7">
        <v>44744</v>
      </c>
      <c r="Q688" s="7">
        <v>44744</v>
      </c>
    </row>
    <row r="689" spans="1:17" x14ac:dyDescent="0.25">
      <c r="A689" t="s">
        <v>752</v>
      </c>
      <c r="B689">
        <v>1093366</v>
      </c>
      <c r="D689">
        <v>45</v>
      </c>
      <c r="G689">
        <v>98</v>
      </c>
      <c r="H689">
        <v>88</v>
      </c>
      <c r="I689" t="s">
        <v>161</v>
      </c>
      <c r="J689">
        <v>95</v>
      </c>
      <c r="K689">
        <v>222</v>
      </c>
      <c r="L689" t="str">
        <f t="shared" si="96"/>
        <v>high</v>
      </c>
      <c r="P689" s="7">
        <v>44744</v>
      </c>
      <c r="Q689" s="7">
        <v>44744</v>
      </c>
    </row>
    <row r="690" spans="1:17" hidden="1" x14ac:dyDescent="0.25">
      <c r="A690" t="s">
        <v>744</v>
      </c>
      <c r="B690">
        <v>1099565</v>
      </c>
      <c r="D690">
        <v>15</v>
      </c>
      <c r="G690">
        <v>98</v>
      </c>
      <c r="I690" t="s">
        <v>753</v>
      </c>
      <c r="P690" s="7">
        <v>44744</v>
      </c>
      <c r="Q690" s="7">
        <v>44744</v>
      </c>
    </row>
    <row r="691" spans="1:17" x14ac:dyDescent="0.25">
      <c r="A691" t="s">
        <v>754</v>
      </c>
      <c r="B691">
        <v>1100968</v>
      </c>
      <c r="D691">
        <v>14</v>
      </c>
      <c r="G691">
        <v>98</v>
      </c>
      <c r="H691">
        <v>160</v>
      </c>
      <c r="I691" t="s">
        <v>53</v>
      </c>
      <c r="J691">
        <v>100</v>
      </c>
      <c r="K691">
        <v>90</v>
      </c>
      <c r="L691" t="str">
        <f t="shared" ref="L691:L693" si="97">IF(K691:K1689&lt;=79,"sweet",IF(K691:K1689&lt;=120,"normal",IF(K691:K1689&lt;=250,"high",IF(K691:K1689&lt;=1000,"very high"))))</f>
        <v>normal</v>
      </c>
      <c r="P691" s="7">
        <v>44744</v>
      </c>
      <c r="Q691" s="7">
        <v>44744</v>
      </c>
    </row>
    <row r="692" spans="1:17" x14ac:dyDescent="0.25">
      <c r="A692" t="s">
        <v>755</v>
      </c>
      <c r="B692">
        <v>1100745</v>
      </c>
      <c r="D692">
        <v>35</v>
      </c>
      <c r="G692">
        <v>98</v>
      </c>
      <c r="H692">
        <v>39</v>
      </c>
      <c r="I692" t="s">
        <v>708</v>
      </c>
      <c r="J692">
        <v>99</v>
      </c>
      <c r="K692">
        <v>127</v>
      </c>
      <c r="L692" t="str">
        <f t="shared" si="97"/>
        <v>high</v>
      </c>
      <c r="P692" s="7">
        <v>44744</v>
      </c>
      <c r="Q692" s="7">
        <v>44744</v>
      </c>
    </row>
    <row r="693" spans="1:17" x14ac:dyDescent="0.25">
      <c r="A693" t="s">
        <v>756</v>
      </c>
      <c r="B693">
        <v>396965</v>
      </c>
      <c r="D693">
        <v>65</v>
      </c>
      <c r="G693">
        <v>98</v>
      </c>
      <c r="H693">
        <v>121</v>
      </c>
      <c r="I693" t="s">
        <v>757</v>
      </c>
      <c r="J693">
        <v>92</v>
      </c>
      <c r="K693">
        <v>128</v>
      </c>
      <c r="L693" t="str">
        <f t="shared" si="97"/>
        <v>high</v>
      </c>
      <c r="P693" s="7">
        <v>44744</v>
      </c>
      <c r="Q693" s="7">
        <v>44744</v>
      </c>
    </row>
    <row r="694" spans="1:17" hidden="1" x14ac:dyDescent="0.25">
      <c r="A694" t="s">
        <v>758</v>
      </c>
      <c r="B694">
        <v>1100894</v>
      </c>
      <c r="D694">
        <v>65</v>
      </c>
      <c r="G694">
        <v>98</v>
      </c>
      <c r="H694">
        <v>64</v>
      </c>
      <c r="I694" t="s">
        <v>759</v>
      </c>
      <c r="P694" s="7">
        <v>44744</v>
      </c>
      <c r="Q694" s="7">
        <v>44744</v>
      </c>
    </row>
    <row r="695" spans="1:17" x14ac:dyDescent="0.25">
      <c r="A695" t="s">
        <v>760</v>
      </c>
      <c r="B695">
        <v>1101648</v>
      </c>
      <c r="D695">
        <v>86</v>
      </c>
      <c r="G695">
        <v>98</v>
      </c>
      <c r="H695">
        <v>114</v>
      </c>
      <c r="I695" t="s">
        <v>260</v>
      </c>
      <c r="J695">
        <v>86</v>
      </c>
      <c r="K695">
        <v>135</v>
      </c>
      <c r="L695" t="str">
        <f t="shared" ref="L695:L698" si="98">IF(K695:K1693&lt;=79,"sweet",IF(K695:K1693&lt;=120,"normal",IF(K695:K1693&lt;=250,"high",IF(K695:K1693&lt;=1000,"very high"))))</f>
        <v>high</v>
      </c>
      <c r="P695" s="7">
        <v>44775</v>
      </c>
      <c r="Q695" s="7">
        <v>44775</v>
      </c>
    </row>
    <row r="696" spans="1:17" x14ac:dyDescent="0.25">
      <c r="A696" t="s">
        <v>761</v>
      </c>
      <c r="B696">
        <v>1097339</v>
      </c>
      <c r="D696">
        <v>55</v>
      </c>
      <c r="G696">
        <v>98</v>
      </c>
      <c r="H696">
        <v>60</v>
      </c>
      <c r="I696" t="s">
        <v>762</v>
      </c>
      <c r="J696">
        <v>99</v>
      </c>
      <c r="K696">
        <v>275</v>
      </c>
      <c r="L696" t="str">
        <f t="shared" si="98"/>
        <v>very high</v>
      </c>
      <c r="P696" s="7">
        <v>44775</v>
      </c>
      <c r="Q696" s="7">
        <v>44775</v>
      </c>
    </row>
    <row r="697" spans="1:17" x14ac:dyDescent="0.25">
      <c r="A697" t="s">
        <v>429</v>
      </c>
      <c r="B697">
        <v>1021545</v>
      </c>
      <c r="D697">
        <v>26</v>
      </c>
      <c r="G697">
        <v>98</v>
      </c>
      <c r="H697">
        <v>94</v>
      </c>
      <c r="I697" t="s">
        <v>430</v>
      </c>
      <c r="J697">
        <v>99</v>
      </c>
      <c r="K697">
        <v>352</v>
      </c>
      <c r="L697" t="str">
        <f t="shared" si="98"/>
        <v>very high</v>
      </c>
      <c r="P697" s="7">
        <v>44775</v>
      </c>
      <c r="Q697" s="7">
        <v>44775</v>
      </c>
    </row>
    <row r="698" spans="1:17" x14ac:dyDescent="0.25">
      <c r="A698" t="s">
        <v>525</v>
      </c>
      <c r="B698">
        <v>1111515</v>
      </c>
      <c r="D698">
        <v>55</v>
      </c>
      <c r="G698">
        <v>98</v>
      </c>
      <c r="H698">
        <v>80</v>
      </c>
      <c r="I698" t="s">
        <v>47</v>
      </c>
      <c r="J698">
        <v>82</v>
      </c>
      <c r="K698">
        <v>120</v>
      </c>
      <c r="L698" t="str">
        <f t="shared" si="98"/>
        <v>normal</v>
      </c>
      <c r="P698" s="7">
        <v>44775</v>
      </c>
      <c r="Q698" s="7">
        <v>44775</v>
      </c>
    </row>
    <row r="699" spans="1:17" hidden="1" x14ac:dyDescent="0.25">
      <c r="A699" t="s">
        <v>527</v>
      </c>
      <c r="B699">
        <v>1021122</v>
      </c>
      <c r="D699">
        <v>50</v>
      </c>
      <c r="G699">
        <v>98</v>
      </c>
      <c r="H699">
        <v>80</v>
      </c>
      <c r="I699" t="s">
        <v>92</v>
      </c>
      <c r="J699">
        <v>85</v>
      </c>
      <c r="K699">
        <v>75</v>
      </c>
      <c r="P699" s="7">
        <v>44775</v>
      </c>
      <c r="Q699" s="7">
        <v>44775</v>
      </c>
    </row>
    <row r="700" spans="1:17" hidden="1" x14ac:dyDescent="0.25">
      <c r="A700" t="s">
        <v>729</v>
      </c>
      <c r="B700">
        <v>1088709</v>
      </c>
      <c r="D700">
        <v>71</v>
      </c>
      <c r="G700">
        <v>98</v>
      </c>
      <c r="H700">
        <v>60</v>
      </c>
      <c r="I700" t="s">
        <v>444</v>
      </c>
      <c r="J700">
        <v>94</v>
      </c>
      <c r="K700">
        <v>27</v>
      </c>
      <c r="M700" t="s">
        <v>969</v>
      </c>
      <c r="O700" t="s">
        <v>977</v>
      </c>
      <c r="P700" s="7">
        <v>44775</v>
      </c>
      <c r="Q700" s="7">
        <v>44775</v>
      </c>
    </row>
    <row r="701" spans="1:17" hidden="1" x14ac:dyDescent="0.25">
      <c r="A701" t="s">
        <v>594</v>
      </c>
      <c r="B701">
        <v>1122112</v>
      </c>
      <c r="D701">
        <v>90</v>
      </c>
      <c r="G701">
        <v>98</v>
      </c>
      <c r="H701">
        <v>110</v>
      </c>
      <c r="I701" t="s">
        <v>708</v>
      </c>
      <c r="J701">
        <v>94</v>
      </c>
      <c r="P701" s="7">
        <v>44775</v>
      </c>
      <c r="Q701" s="7">
        <v>44775</v>
      </c>
    </row>
    <row r="702" spans="1:17" hidden="1" x14ac:dyDescent="0.25">
      <c r="A702" t="s">
        <v>595</v>
      </c>
      <c r="B702">
        <v>154121</v>
      </c>
      <c r="D702">
        <v>81</v>
      </c>
      <c r="G702">
        <v>98</v>
      </c>
      <c r="H702">
        <v>130</v>
      </c>
      <c r="I702" t="s">
        <v>710</v>
      </c>
      <c r="K702">
        <v>50</v>
      </c>
      <c r="O702" t="s">
        <v>967</v>
      </c>
      <c r="P702" s="7">
        <v>44775</v>
      </c>
      <c r="Q702" s="7">
        <v>44775</v>
      </c>
    </row>
    <row r="703" spans="1:17" hidden="1" x14ac:dyDescent="0.25">
      <c r="A703" t="s">
        <v>309</v>
      </c>
      <c r="B703">
        <v>1212112</v>
      </c>
      <c r="D703">
        <v>22</v>
      </c>
      <c r="G703">
        <v>98</v>
      </c>
      <c r="H703">
        <v>45</v>
      </c>
      <c r="I703" t="s">
        <v>296</v>
      </c>
      <c r="J703">
        <v>99</v>
      </c>
      <c r="K703">
        <v>79</v>
      </c>
      <c r="P703" s="7">
        <v>44775</v>
      </c>
      <c r="Q703" s="7">
        <v>44775</v>
      </c>
    </row>
    <row r="704" spans="1:17" hidden="1" x14ac:dyDescent="0.25">
      <c r="A704" t="s">
        <v>597</v>
      </c>
      <c r="B704">
        <v>1212144</v>
      </c>
      <c r="D704">
        <v>35</v>
      </c>
      <c r="G704">
        <v>98</v>
      </c>
      <c r="H704">
        <v>60</v>
      </c>
      <c r="I704" t="s">
        <v>298</v>
      </c>
      <c r="O704" t="s">
        <v>967</v>
      </c>
      <c r="P704" s="7">
        <v>44775</v>
      </c>
      <c r="Q704" s="7">
        <v>44775</v>
      </c>
    </row>
    <row r="705" spans="1:17" hidden="1" x14ac:dyDescent="0.25">
      <c r="A705" t="s">
        <v>598</v>
      </c>
      <c r="B705">
        <v>4512211</v>
      </c>
      <c r="D705">
        <v>30</v>
      </c>
      <c r="G705">
        <v>98</v>
      </c>
      <c r="H705">
        <v>79</v>
      </c>
      <c r="I705" t="s">
        <v>194</v>
      </c>
      <c r="J705">
        <v>83</v>
      </c>
      <c r="P705" s="7">
        <v>44775</v>
      </c>
      <c r="Q705" s="7">
        <v>44775</v>
      </c>
    </row>
    <row r="706" spans="1:17" x14ac:dyDescent="0.25">
      <c r="A706" t="s">
        <v>666</v>
      </c>
      <c r="B706">
        <v>1248454</v>
      </c>
      <c r="D706">
        <v>45</v>
      </c>
      <c r="G706">
        <v>98</v>
      </c>
      <c r="H706">
        <v>95</v>
      </c>
      <c r="I706" t="s">
        <v>301</v>
      </c>
      <c r="J706">
        <v>100</v>
      </c>
      <c r="K706">
        <v>81</v>
      </c>
      <c r="L706" t="str">
        <f t="shared" ref="L706:L709" si="99">IF(K706:K1704&lt;=79,"sweet",IF(K706:K1704&lt;=120,"normal",IF(K706:K1704&lt;=250,"high",IF(K706:K1704&lt;=1000,"very high"))))</f>
        <v>normal</v>
      </c>
      <c r="O706" t="s">
        <v>967</v>
      </c>
      <c r="P706" s="7">
        <v>44775</v>
      </c>
      <c r="Q706" s="7">
        <v>44775</v>
      </c>
    </row>
    <row r="707" spans="1:17" x14ac:dyDescent="0.25">
      <c r="A707" t="s">
        <v>668</v>
      </c>
      <c r="B707">
        <v>12484451</v>
      </c>
      <c r="D707">
        <v>55</v>
      </c>
      <c r="G707">
        <v>98</v>
      </c>
      <c r="H707">
        <v>84</v>
      </c>
      <c r="I707" t="s">
        <v>302</v>
      </c>
      <c r="J707">
        <v>102</v>
      </c>
      <c r="K707">
        <v>82</v>
      </c>
      <c r="L707" t="str">
        <f t="shared" si="99"/>
        <v>normal</v>
      </c>
      <c r="P707" s="7">
        <v>44775</v>
      </c>
      <c r="Q707" s="7">
        <v>44775</v>
      </c>
    </row>
    <row r="708" spans="1:17" x14ac:dyDescent="0.25">
      <c r="A708" t="s">
        <v>634</v>
      </c>
      <c r="B708">
        <v>1245454</v>
      </c>
      <c r="D708">
        <v>60</v>
      </c>
      <c r="G708">
        <v>98</v>
      </c>
      <c r="H708">
        <v>100</v>
      </c>
      <c r="I708" t="s">
        <v>711</v>
      </c>
      <c r="J708">
        <v>24</v>
      </c>
      <c r="K708">
        <v>120</v>
      </c>
      <c r="L708" t="str">
        <f t="shared" si="99"/>
        <v>normal</v>
      </c>
      <c r="P708" s="7">
        <v>44775</v>
      </c>
      <c r="Q708" s="7">
        <v>44775</v>
      </c>
    </row>
    <row r="709" spans="1:17" x14ac:dyDescent="0.25">
      <c r="A709" t="s">
        <v>669</v>
      </c>
      <c r="B709">
        <v>1249555</v>
      </c>
      <c r="D709">
        <v>51</v>
      </c>
      <c r="G709">
        <v>98</v>
      </c>
      <c r="H709">
        <v>85</v>
      </c>
      <c r="I709" t="s">
        <v>708</v>
      </c>
      <c r="J709">
        <v>98</v>
      </c>
      <c r="K709">
        <v>120</v>
      </c>
      <c r="L709" t="str">
        <f t="shared" si="99"/>
        <v>normal</v>
      </c>
      <c r="P709" s="7">
        <v>44775</v>
      </c>
      <c r="Q709" s="7">
        <v>44775</v>
      </c>
    </row>
    <row r="710" spans="1:17" hidden="1" x14ac:dyDescent="0.25">
      <c r="A710" t="s">
        <v>670</v>
      </c>
      <c r="B710">
        <v>1263544</v>
      </c>
      <c r="D710">
        <v>60</v>
      </c>
      <c r="G710">
        <v>98</v>
      </c>
      <c r="H710">
        <v>140</v>
      </c>
      <c r="I710" t="s">
        <v>304</v>
      </c>
      <c r="J710">
        <v>80</v>
      </c>
      <c r="O710" t="s">
        <v>967</v>
      </c>
      <c r="P710" s="7" t="s">
        <v>763</v>
      </c>
      <c r="Q710" s="7" t="s">
        <v>763</v>
      </c>
    </row>
    <row r="711" spans="1:17" x14ac:dyDescent="0.25">
      <c r="A711" t="s">
        <v>158</v>
      </c>
      <c r="B711">
        <v>1263542</v>
      </c>
      <c r="D711">
        <v>55</v>
      </c>
      <c r="G711">
        <v>98</v>
      </c>
      <c r="H711">
        <v>86</v>
      </c>
      <c r="I711" t="s">
        <v>53</v>
      </c>
      <c r="J711">
        <v>85</v>
      </c>
      <c r="K711">
        <v>535</v>
      </c>
      <c r="L711" t="str">
        <f t="shared" ref="L711:L714" si="100">IF(K711:K1709&lt;=79,"sweet",IF(K711:K1709&lt;=120,"normal",IF(K711:K1709&lt;=250,"high",IF(K711:K1709&lt;=1000,"very high"))))</f>
        <v>very high</v>
      </c>
      <c r="M711" t="s">
        <v>36</v>
      </c>
      <c r="P711" s="7" t="s">
        <v>763</v>
      </c>
      <c r="Q711" s="7" t="s">
        <v>763</v>
      </c>
    </row>
    <row r="712" spans="1:17" x14ac:dyDescent="0.25">
      <c r="A712" t="s">
        <v>672</v>
      </c>
      <c r="B712">
        <v>1296543</v>
      </c>
      <c r="D712">
        <v>60</v>
      </c>
      <c r="G712">
        <v>98</v>
      </c>
      <c r="H712">
        <v>95</v>
      </c>
      <c r="I712" t="s">
        <v>716</v>
      </c>
      <c r="J712">
        <v>99</v>
      </c>
      <c r="K712">
        <v>141</v>
      </c>
      <c r="L712" t="str">
        <f t="shared" si="100"/>
        <v>high</v>
      </c>
      <c r="O712" t="s">
        <v>967</v>
      </c>
      <c r="P712" s="7" t="s">
        <v>763</v>
      </c>
      <c r="Q712" s="7" t="s">
        <v>763</v>
      </c>
    </row>
    <row r="713" spans="1:17" x14ac:dyDescent="0.25">
      <c r="A713" t="s">
        <v>673</v>
      </c>
      <c r="B713">
        <v>1284465</v>
      </c>
      <c r="D713">
        <v>12</v>
      </c>
      <c r="G713">
        <v>98</v>
      </c>
      <c r="H713">
        <v>140</v>
      </c>
      <c r="I713" t="s">
        <v>74</v>
      </c>
      <c r="J713">
        <v>99</v>
      </c>
      <c r="K713">
        <v>448</v>
      </c>
      <c r="L713" t="str">
        <f t="shared" si="100"/>
        <v>very high</v>
      </c>
      <c r="N713" t="s">
        <v>974</v>
      </c>
      <c r="P713" s="7" t="s">
        <v>763</v>
      </c>
      <c r="Q713" s="7" t="s">
        <v>763</v>
      </c>
    </row>
    <row r="714" spans="1:17" x14ac:dyDescent="0.25">
      <c r="A714" t="s">
        <v>674</v>
      </c>
      <c r="B714">
        <v>1154654</v>
      </c>
      <c r="D714">
        <v>40</v>
      </c>
      <c r="G714">
        <v>98</v>
      </c>
      <c r="H714">
        <v>145</v>
      </c>
      <c r="I714" t="s">
        <v>79</v>
      </c>
      <c r="J714">
        <v>83</v>
      </c>
      <c r="K714">
        <v>142</v>
      </c>
      <c r="L714" t="str">
        <f t="shared" si="100"/>
        <v>high</v>
      </c>
      <c r="P714" s="7" t="s">
        <v>763</v>
      </c>
      <c r="Q714" s="7" t="s">
        <v>763</v>
      </c>
    </row>
    <row r="715" spans="1:17" hidden="1" x14ac:dyDescent="0.25">
      <c r="A715" t="s">
        <v>121</v>
      </c>
      <c r="B715">
        <v>335646</v>
      </c>
      <c r="D715">
        <v>60</v>
      </c>
      <c r="G715">
        <v>98</v>
      </c>
      <c r="I715" t="s">
        <v>720</v>
      </c>
      <c r="J715">
        <v>77</v>
      </c>
      <c r="O715" t="s">
        <v>968</v>
      </c>
      <c r="P715" s="7" t="s">
        <v>763</v>
      </c>
      <c r="Q715" s="7" t="s">
        <v>763</v>
      </c>
    </row>
    <row r="716" spans="1:17" x14ac:dyDescent="0.25">
      <c r="A716" t="s">
        <v>407</v>
      </c>
      <c r="B716">
        <v>3564654</v>
      </c>
      <c r="D716">
        <v>71</v>
      </c>
      <c r="G716">
        <v>98</v>
      </c>
      <c r="H716">
        <v>45</v>
      </c>
      <c r="I716" t="s">
        <v>722</v>
      </c>
      <c r="J716">
        <v>92</v>
      </c>
      <c r="K716">
        <v>332</v>
      </c>
      <c r="L716" t="str">
        <f>IF(K716:K1714&lt;=79,"sweet",IF(K716:K1714&lt;=120,"normal",IF(K716:K1714&lt;=250,"high",IF(K716:K1714&lt;=1000,"very high"))))</f>
        <v>very high</v>
      </c>
      <c r="P716" s="7" t="s">
        <v>763</v>
      </c>
      <c r="Q716" s="7" t="s">
        <v>763</v>
      </c>
    </row>
    <row r="717" spans="1:17" hidden="1" x14ac:dyDescent="0.25">
      <c r="A717" t="s">
        <v>654</v>
      </c>
      <c r="B717">
        <v>3545446</v>
      </c>
      <c r="D717">
        <v>65</v>
      </c>
      <c r="G717">
        <v>98</v>
      </c>
      <c r="H717">
        <v>183</v>
      </c>
      <c r="I717" t="s">
        <v>724</v>
      </c>
      <c r="J717">
        <v>91</v>
      </c>
      <c r="O717" t="s">
        <v>967</v>
      </c>
      <c r="P717" s="7" t="s">
        <v>763</v>
      </c>
      <c r="Q717" s="7" t="s">
        <v>763</v>
      </c>
    </row>
    <row r="718" spans="1:17" hidden="1" x14ac:dyDescent="0.25">
      <c r="A718" t="s">
        <v>424</v>
      </c>
      <c r="B718">
        <v>3564323</v>
      </c>
      <c r="D718">
        <v>60</v>
      </c>
      <c r="G718">
        <v>98</v>
      </c>
      <c r="H718">
        <v>133</v>
      </c>
      <c r="I718" t="s">
        <v>726</v>
      </c>
      <c r="J718">
        <v>95</v>
      </c>
      <c r="O718" t="s">
        <v>967</v>
      </c>
      <c r="P718" s="7" t="s">
        <v>763</v>
      </c>
      <c r="Q718" s="7" t="s">
        <v>764</v>
      </c>
    </row>
    <row r="719" spans="1:17" x14ac:dyDescent="0.25">
      <c r="A719" t="s">
        <v>431</v>
      </c>
      <c r="B719">
        <v>3564433</v>
      </c>
      <c r="D719">
        <v>60</v>
      </c>
      <c r="G719">
        <v>98</v>
      </c>
      <c r="H719">
        <v>92</v>
      </c>
      <c r="I719" s="5" t="s">
        <v>28</v>
      </c>
      <c r="J719">
        <v>100</v>
      </c>
      <c r="K719">
        <v>148</v>
      </c>
      <c r="L719" t="str">
        <f t="shared" ref="L719:L720" si="101">IF(K719:K1717&lt;=79,"sweet",IF(K719:K1717&lt;=120,"normal",IF(K719:K1717&lt;=250,"high",IF(K719:K1717&lt;=1000,"very high"))))</f>
        <v>high</v>
      </c>
      <c r="P719" s="7" t="s">
        <v>763</v>
      </c>
      <c r="Q719" s="7" t="s">
        <v>764</v>
      </c>
    </row>
    <row r="720" spans="1:17" x14ac:dyDescent="0.25">
      <c r="A720" t="s">
        <v>432</v>
      </c>
      <c r="B720">
        <v>35646461</v>
      </c>
      <c r="D720">
        <v>45</v>
      </c>
      <c r="G720">
        <v>98</v>
      </c>
      <c r="H720">
        <v>80</v>
      </c>
      <c r="I720" t="s">
        <v>753</v>
      </c>
      <c r="J720">
        <v>99</v>
      </c>
      <c r="K720">
        <v>502</v>
      </c>
      <c r="L720" t="str">
        <f t="shared" si="101"/>
        <v>very high</v>
      </c>
      <c r="N720" t="s">
        <v>974</v>
      </c>
      <c r="O720" t="s">
        <v>967</v>
      </c>
      <c r="P720" s="7" t="s">
        <v>763</v>
      </c>
      <c r="Q720" s="7" t="s">
        <v>764</v>
      </c>
    </row>
    <row r="721" spans="1:17" hidden="1" x14ac:dyDescent="0.25">
      <c r="A721" t="s">
        <v>433</v>
      </c>
      <c r="B721">
        <v>1215465</v>
      </c>
      <c r="D721">
        <v>27</v>
      </c>
      <c r="G721">
        <v>98</v>
      </c>
      <c r="H721">
        <v>65</v>
      </c>
      <c r="I721" t="s">
        <v>53</v>
      </c>
      <c r="J721">
        <v>92</v>
      </c>
      <c r="P721" s="7" t="s">
        <v>763</v>
      </c>
      <c r="Q721" s="7" t="s">
        <v>764</v>
      </c>
    </row>
    <row r="722" spans="1:17" hidden="1" x14ac:dyDescent="0.25">
      <c r="A722" t="s">
        <v>435</v>
      </c>
      <c r="B722">
        <v>1254656</v>
      </c>
      <c r="D722">
        <v>45</v>
      </c>
      <c r="G722">
        <v>98</v>
      </c>
      <c r="H722">
        <v>100</v>
      </c>
      <c r="P722" s="7" t="s">
        <v>763</v>
      </c>
      <c r="Q722" s="7" t="s">
        <v>764</v>
      </c>
    </row>
    <row r="723" spans="1:17" x14ac:dyDescent="0.25">
      <c r="A723" t="s">
        <v>436</v>
      </c>
      <c r="B723">
        <v>323146</v>
      </c>
      <c r="D723">
        <v>55</v>
      </c>
      <c r="G723">
        <v>98</v>
      </c>
      <c r="H723">
        <v>62</v>
      </c>
      <c r="I723" t="s">
        <v>757</v>
      </c>
      <c r="J723">
        <v>86</v>
      </c>
      <c r="K723">
        <v>412</v>
      </c>
      <c r="L723" t="str">
        <f t="shared" ref="L723:L724" si="102">IF(K723:K1721&lt;=79,"sweet",IF(K723:K1721&lt;=120,"normal",IF(K723:K1721&lt;=250,"high",IF(K723:K1721&lt;=1000,"very high"))))</f>
        <v>very high</v>
      </c>
      <c r="N723" t="s">
        <v>974</v>
      </c>
      <c r="P723" s="7" t="s">
        <v>763</v>
      </c>
      <c r="Q723" s="7" t="s">
        <v>764</v>
      </c>
    </row>
    <row r="724" spans="1:17" x14ac:dyDescent="0.25">
      <c r="A724" t="s">
        <v>438</v>
      </c>
      <c r="B724">
        <v>10232133</v>
      </c>
      <c r="D724">
        <v>60</v>
      </c>
      <c r="G724">
        <v>98</v>
      </c>
      <c r="H724">
        <v>63</v>
      </c>
      <c r="I724" t="s">
        <v>759</v>
      </c>
      <c r="J724">
        <v>99</v>
      </c>
      <c r="K724">
        <v>220</v>
      </c>
      <c r="L724" t="str">
        <f t="shared" si="102"/>
        <v>high</v>
      </c>
      <c r="P724" s="7" t="s">
        <v>763</v>
      </c>
      <c r="Q724" s="7" t="s">
        <v>764</v>
      </c>
    </row>
    <row r="725" spans="1:17" hidden="1" x14ac:dyDescent="0.25">
      <c r="A725" t="s">
        <v>540</v>
      </c>
      <c r="B725">
        <v>1023545</v>
      </c>
      <c r="D725">
        <v>60</v>
      </c>
      <c r="G725">
        <v>98</v>
      </c>
      <c r="H725">
        <v>96</v>
      </c>
      <c r="I725" t="s">
        <v>260</v>
      </c>
      <c r="K725">
        <v>78</v>
      </c>
      <c r="P725" s="7" t="s">
        <v>763</v>
      </c>
      <c r="Q725" s="7" t="s">
        <v>764</v>
      </c>
    </row>
    <row r="726" spans="1:17" hidden="1" x14ac:dyDescent="0.25">
      <c r="A726" t="s">
        <v>543</v>
      </c>
      <c r="B726">
        <v>4445464</v>
      </c>
      <c r="D726">
        <v>55</v>
      </c>
      <c r="G726">
        <v>98</v>
      </c>
      <c r="H726">
        <v>126</v>
      </c>
      <c r="I726" t="s">
        <v>762</v>
      </c>
      <c r="J726">
        <v>82</v>
      </c>
      <c r="P726" s="7" t="s">
        <v>764</v>
      </c>
      <c r="Q726" s="7" t="s">
        <v>764</v>
      </c>
    </row>
    <row r="727" spans="1:17" x14ac:dyDescent="0.25">
      <c r="A727" t="s">
        <v>545</v>
      </c>
      <c r="B727">
        <v>6564323</v>
      </c>
      <c r="D727">
        <v>85</v>
      </c>
      <c r="G727">
        <v>98</v>
      </c>
      <c r="H727">
        <v>89</v>
      </c>
      <c r="I727" t="s">
        <v>430</v>
      </c>
      <c r="J727">
        <v>85</v>
      </c>
      <c r="K727">
        <v>222</v>
      </c>
      <c r="L727" t="str">
        <f>IF(K727:K1725&lt;=79,"sweet",IF(K727:K1725&lt;=120,"normal",IF(K727:K1725&lt;=250,"high",IF(K727:K1725&lt;=1000,"very high"))))</f>
        <v>high</v>
      </c>
      <c r="O727" t="s">
        <v>967</v>
      </c>
      <c r="P727" s="7" t="s">
        <v>764</v>
      </c>
      <c r="Q727" s="7" t="s">
        <v>764</v>
      </c>
    </row>
    <row r="728" spans="1:17" hidden="1" x14ac:dyDescent="0.25">
      <c r="A728" t="s">
        <v>471</v>
      </c>
      <c r="B728">
        <v>6545413</v>
      </c>
      <c r="D728">
        <v>45</v>
      </c>
      <c r="G728">
        <v>98</v>
      </c>
      <c r="H728">
        <v>70</v>
      </c>
      <c r="I728" t="s">
        <v>47</v>
      </c>
      <c r="J728">
        <v>94</v>
      </c>
      <c r="P728" s="7" t="s">
        <v>764</v>
      </c>
      <c r="Q728" s="7" t="s">
        <v>764</v>
      </c>
    </row>
    <row r="729" spans="1:17" x14ac:dyDescent="0.25">
      <c r="A729" t="s">
        <v>472</v>
      </c>
      <c r="B729">
        <v>6461321</v>
      </c>
      <c r="D729">
        <v>55</v>
      </c>
      <c r="G729">
        <v>98</v>
      </c>
      <c r="H729">
        <v>80</v>
      </c>
      <c r="I729" t="s">
        <v>92</v>
      </c>
      <c r="J729">
        <v>94</v>
      </c>
      <c r="K729">
        <v>90</v>
      </c>
      <c r="L729" t="str">
        <f t="shared" ref="L729:L731" si="103">IF(K729:K1727&lt;=79,"sweet",IF(K729:K1727&lt;=120,"normal",IF(K729:K1727&lt;=250,"high",IF(K729:K1727&lt;=1000,"very high"))))</f>
        <v>normal</v>
      </c>
      <c r="P729" s="7" t="s">
        <v>764</v>
      </c>
      <c r="Q729" s="7" t="s">
        <v>764</v>
      </c>
    </row>
    <row r="730" spans="1:17" x14ac:dyDescent="0.25">
      <c r="A730" t="s">
        <v>474</v>
      </c>
      <c r="B730">
        <v>6488413</v>
      </c>
      <c r="D730">
        <v>50</v>
      </c>
      <c r="G730">
        <v>98</v>
      </c>
      <c r="H730">
        <v>92</v>
      </c>
      <c r="I730" t="s">
        <v>981</v>
      </c>
      <c r="J730">
        <v>99</v>
      </c>
      <c r="K730">
        <v>127</v>
      </c>
      <c r="L730" t="str">
        <f t="shared" si="103"/>
        <v>high</v>
      </c>
      <c r="P730" s="7" t="s">
        <v>764</v>
      </c>
      <c r="Q730" s="7" t="s">
        <v>764</v>
      </c>
    </row>
    <row r="731" spans="1:17" x14ac:dyDescent="0.25">
      <c r="A731" t="s">
        <v>468</v>
      </c>
      <c r="B731">
        <v>6132143</v>
      </c>
      <c r="D731">
        <v>40</v>
      </c>
      <c r="G731">
        <v>98</v>
      </c>
      <c r="H731">
        <v>100</v>
      </c>
      <c r="I731" t="s">
        <v>708</v>
      </c>
      <c r="J731">
        <v>99</v>
      </c>
      <c r="K731">
        <v>128</v>
      </c>
      <c r="L731" t="str">
        <f t="shared" si="103"/>
        <v>high</v>
      </c>
      <c r="P731" s="7" t="s">
        <v>764</v>
      </c>
      <c r="Q731" s="7" t="s">
        <v>764</v>
      </c>
    </row>
    <row r="732" spans="1:17" hidden="1" x14ac:dyDescent="0.25">
      <c r="A732" t="s">
        <v>475</v>
      </c>
      <c r="B732">
        <v>3145646</v>
      </c>
      <c r="D732">
        <v>65</v>
      </c>
      <c r="G732">
        <v>98</v>
      </c>
      <c r="H732">
        <v>104</v>
      </c>
      <c r="I732" t="s">
        <v>710</v>
      </c>
      <c r="P732" s="7" t="s">
        <v>764</v>
      </c>
      <c r="Q732" s="7" t="s">
        <v>764</v>
      </c>
    </row>
    <row r="733" spans="1:17" x14ac:dyDescent="0.25">
      <c r="A733" t="s">
        <v>338</v>
      </c>
      <c r="B733">
        <v>8465321</v>
      </c>
      <c r="D733">
        <v>81</v>
      </c>
      <c r="G733">
        <v>98</v>
      </c>
      <c r="H733">
        <v>140</v>
      </c>
      <c r="I733" t="s">
        <v>296</v>
      </c>
      <c r="J733">
        <v>83</v>
      </c>
      <c r="K733">
        <v>135</v>
      </c>
      <c r="L733" t="str">
        <f t="shared" ref="L733:L736" si="104">IF(K733:K1731&lt;=79,"sweet",IF(K733:K1731&lt;=120,"normal",IF(K733:K1731&lt;=250,"high",IF(K733:K1731&lt;=1000,"very high"))))</f>
        <v>high</v>
      </c>
      <c r="P733" s="7" t="s">
        <v>764</v>
      </c>
      <c r="Q733" s="7" t="s">
        <v>764</v>
      </c>
    </row>
    <row r="734" spans="1:17" x14ac:dyDescent="0.25">
      <c r="A734" t="s">
        <v>476</v>
      </c>
      <c r="B734">
        <v>8454321</v>
      </c>
      <c r="D734">
        <v>74</v>
      </c>
      <c r="G734">
        <v>98</v>
      </c>
      <c r="H734">
        <v>98</v>
      </c>
      <c r="I734" t="s">
        <v>298</v>
      </c>
      <c r="J734">
        <v>100</v>
      </c>
      <c r="K734">
        <v>275</v>
      </c>
      <c r="L734" t="str">
        <f t="shared" si="104"/>
        <v>very high</v>
      </c>
      <c r="P734" s="7" t="s">
        <v>764</v>
      </c>
      <c r="Q734" s="7" t="s">
        <v>765</v>
      </c>
    </row>
    <row r="735" spans="1:17" x14ac:dyDescent="0.25">
      <c r="A735" t="s">
        <v>478</v>
      </c>
      <c r="B735">
        <v>8451321</v>
      </c>
      <c r="D735">
        <v>52</v>
      </c>
      <c r="G735">
        <v>98</v>
      </c>
      <c r="H735">
        <v>100</v>
      </c>
      <c r="I735" t="s">
        <v>194</v>
      </c>
      <c r="J735">
        <v>102</v>
      </c>
      <c r="K735">
        <v>352</v>
      </c>
      <c r="L735" t="str">
        <f t="shared" si="104"/>
        <v>very high</v>
      </c>
      <c r="N735" t="s">
        <v>972</v>
      </c>
      <c r="P735" s="7" t="s">
        <v>764</v>
      </c>
      <c r="Q735" s="7" t="s">
        <v>765</v>
      </c>
    </row>
    <row r="736" spans="1:17" x14ac:dyDescent="0.25">
      <c r="A736" t="s">
        <v>479</v>
      </c>
      <c r="B736">
        <v>8798754</v>
      </c>
      <c r="D736">
        <v>70</v>
      </c>
      <c r="G736">
        <v>98</v>
      </c>
      <c r="H736">
        <v>140</v>
      </c>
      <c r="I736" t="s">
        <v>301</v>
      </c>
      <c r="J736">
        <v>24</v>
      </c>
      <c r="K736">
        <v>120</v>
      </c>
      <c r="L736" t="str">
        <f t="shared" si="104"/>
        <v>normal</v>
      </c>
      <c r="P736" s="7" t="s">
        <v>764</v>
      </c>
      <c r="Q736" s="7" t="s">
        <v>765</v>
      </c>
    </row>
    <row r="737" spans="1:17" hidden="1" x14ac:dyDescent="0.25">
      <c r="A737" t="s">
        <v>598</v>
      </c>
      <c r="B737">
        <v>4654213</v>
      </c>
      <c r="D737">
        <v>60</v>
      </c>
      <c r="G737">
        <v>98</v>
      </c>
      <c r="H737">
        <v>145</v>
      </c>
      <c r="I737" t="s">
        <v>302</v>
      </c>
      <c r="J737">
        <v>98</v>
      </c>
      <c r="K737">
        <v>75</v>
      </c>
      <c r="P737" s="7" t="s">
        <v>764</v>
      </c>
      <c r="Q737" s="7" t="s">
        <v>765</v>
      </c>
    </row>
    <row r="738" spans="1:17" hidden="1" x14ac:dyDescent="0.25">
      <c r="A738" t="s">
        <v>599</v>
      </c>
      <c r="B738">
        <v>1325156</v>
      </c>
      <c r="D738">
        <v>21</v>
      </c>
      <c r="G738">
        <v>98</v>
      </c>
      <c r="I738" t="s">
        <v>711</v>
      </c>
      <c r="J738">
        <v>80</v>
      </c>
      <c r="K738">
        <v>27</v>
      </c>
      <c r="P738" s="7" t="s">
        <v>764</v>
      </c>
      <c r="Q738" s="7" t="s">
        <v>765</v>
      </c>
    </row>
    <row r="739" spans="1:17" hidden="1" x14ac:dyDescent="0.25">
      <c r="A739" t="s">
        <v>600</v>
      </c>
      <c r="B739">
        <v>4321324</v>
      </c>
      <c r="D739">
        <v>50</v>
      </c>
      <c r="G739">
        <v>98</v>
      </c>
      <c r="H739">
        <v>45</v>
      </c>
      <c r="J739">
        <v>85</v>
      </c>
      <c r="O739" t="s">
        <v>977</v>
      </c>
      <c r="P739" s="7" t="s">
        <v>764</v>
      </c>
      <c r="Q739" s="7" t="s">
        <v>765</v>
      </c>
    </row>
    <row r="740" spans="1:17" hidden="1" x14ac:dyDescent="0.25">
      <c r="A740" t="s">
        <v>602</v>
      </c>
      <c r="B740">
        <v>6541231</v>
      </c>
      <c r="D740">
        <v>45</v>
      </c>
      <c r="G740">
        <v>98</v>
      </c>
      <c r="H740">
        <v>183</v>
      </c>
      <c r="I740" t="s">
        <v>304</v>
      </c>
      <c r="J740">
        <v>81</v>
      </c>
      <c r="K740">
        <v>50</v>
      </c>
      <c r="P740" s="7" t="s">
        <v>764</v>
      </c>
      <c r="Q740" s="7" t="s">
        <v>765</v>
      </c>
    </row>
    <row r="741" spans="1:17" hidden="1" x14ac:dyDescent="0.25">
      <c r="A741" t="s">
        <v>570</v>
      </c>
      <c r="B741">
        <v>1324564</v>
      </c>
      <c r="D741">
        <v>49</v>
      </c>
      <c r="G741">
        <v>98</v>
      </c>
      <c r="H741">
        <v>133</v>
      </c>
      <c r="I741" t="s">
        <v>53</v>
      </c>
      <c r="J741">
        <v>81</v>
      </c>
      <c r="K741">
        <v>79</v>
      </c>
      <c r="O741" t="s">
        <v>967</v>
      </c>
      <c r="P741" s="7" t="s">
        <v>764</v>
      </c>
      <c r="Q741" s="7" t="s">
        <v>765</v>
      </c>
    </row>
    <row r="742" spans="1:17" hidden="1" x14ac:dyDescent="0.25">
      <c r="A742" t="s">
        <v>604</v>
      </c>
      <c r="B742">
        <v>1213445</v>
      </c>
      <c r="D742">
        <v>65</v>
      </c>
      <c r="G742">
        <v>98</v>
      </c>
      <c r="H742">
        <v>92</v>
      </c>
      <c r="J742">
        <v>80</v>
      </c>
      <c r="P742" s="7" t="s">
        <v>765</v>
      </c>
      <c r="Q742" s="7" t="s">
        <v>765</v>
      </c>
    </row>
    <row r="743" spans="1:17" hidden="1" x14ac:dyDescent="0.25">
      <c r="A743" t="s">
        <v>605</v>
      </c>
      <c r="B743">
        <v>1354543</v>
      </c>
      <c r="D743">
        <v>35</v>
      </c>
      <c r="G743">
        <v>98</v>
      </c>
      <c r="H743">
        <v>80</v>
      </c>
      <c r="I743" t="s">
        <v>53</v>
      </c>
      <c r="J743">
        <v>99</v>
      </c>
      <c r="O743" t="s">
        <v>967</v>
      </c>
      <c r="P743" s="7" t="s">
        <v>765</v>
      </c>
      <c r="Q743" s="7" t="s">
        <v>765</v>
      </c>
    </row>
    <row r="744" spans="1:17" x14ac:dyDescent="0.25">
      <c r="A744" t="s">
        <v>606</v>
      </c>
      <c r="B744">
        <v>3454431</v>
      </c>
      <c r="D744">
        <v>76</v>
      </c>
      <c r="G744">
        <v>98</v>
      </c>
      <c r="H744">
        <v>65</v>
      </c>
      <c r="I744" t="s">
        <v>229</v>
      </c>
      <c r="J744">
        <v>70</v>
      </c>
      <c r="K744">
        <v>81</v>
      </c>
      <c r="L744" t="str">
        <f t="shared" ref="L744:L747" si="105">IF(K744:K1742&lt;=79,"sweet",IF(K744:K1742&lt;=120,"normal",IF(K744:K1742&lt;=250,"high",IF(K744:K1742&lt;=1000,"very high"))))</f>
        <v>normal</v>
      </c>
      <c r="P744" s="7" t="s">
        <v>765</v>
      </c>
      <c r="Q744" s="7" t="s">
        <v>765</v>
      </c>
    </row>
    <row r="745" spans="1:17" x14ac:dyDescent="0.25">
      <c r="A745" t="s">
        <v>608</v>
      </c>
      <c r="B745">
        <v>1345442</v>
      </c>
      <c r="D745">
        <v>72</v>
      </c>
      <c r="G745">
        <v>98</v>
      </c>
      <c r="H745">
        <v>100</v>
      </c>
      <c r="I745" t="s">
        <v>154</v>
      </c>
      <c r="J745">
        <v>96</v>
      </c>
      <c r="K745">
        <v>82</v>
      </c>
      <c r="L745" t="str">
        <f t="shared" si="105"/>
        <v>normal</v>
      </c>
      <c r="O745" t="s">
        <v>967</v>
      </c>
      <c r="P745" s="7" t="s">
        <v>765</v>
      </c>
      <c r="Q745" s="7" t="s">
        <v>765</v>
      </c>
    </row>
    <row r="746" spans="1:17" x14ac:dyDescent="0.25">
      <c r="A746" t="s">
        <v>265</v>
      </c>
      <c r="B746">
        <v>1345454</v>
      </c>
      <c r="D746">
        <v>72</v>
      </c>
      <c r="G746">
        <v>98</v>
      </c>
      <c r="H746">
        <v>62</v>
      </c>
      <c r="I746" t="s">
        <v>94</v>
      </c>
      <c r="J746">
        <v>90</v>
      </c>
      <c r="K746">
        <v>120</v>
      </c>
      <c r="L746" t="str">
        <f t="shared" si="105"/>
        <v>normal</v>
      </c>
      <c r="P746" s="7" t="s">
        <v>765</v>
      </c>
      <c r="Q746" s="7" t="s">
        <v>765</v>
      </c>
    </row>
    <row r="747" spans="1:17" x14ac:dyDescent="0.25">
      <c r="A747" t="s">
        <v>118</v>
      </c>
      <c r="B747">
        <v>1315446</v>
      </c>
      <c r="D747">
        <v>79</v>
      </c>
      <c r="G747">
        <v>98</v>
      </c>
      <c r="H747">
        <v>133</v>
      </c>
      <c r="I747" t="s">
        <v>708</v>
      </c>
      <c r="J747">
        <v>99</v>
      </c>
      <c r="K747">
        <v>120</v>
      </c>
      <c r="L747" t="str">
        <f t="shared" si="105"/>
        <v>normal</v>
      </c>
      <c r="P747" s="7" t="s">
        <v>765</v>
      </c>
      <c r="Q747" s="7" t="s">
        <v>765</v>
      </c>
    </row>
    <row r="748" spans="1:17" hidden="1" x14ac:dyDescent="0.25">
      <c r="A748" t="s">
        <v>121</v>
      </c>
      <c r="B748">
        <v>1354546</v>
      </c>
      <c r="D748">
        <v>71</v>
      </c>
      <c r="G748">
        <v>98</v>
      </c>
      <c r="H748">
        <v>92</v>
      </c>
      <c r="I748" t="s">
        <v>6</v>
      </c>
      <c r="J748">
        <v>48</v>
      </c>
      <c r="O748" t="s">
        <v>968</v>
      </c>
      <c r="P748" s="7" t="s">
        <v>765</v>
      </c>
      <c r="Q748" s="7" t="s">
        <v>765</v>
      </c>
    </row>
    <row r="749" spans="1:17" x14ac:dyDescent="0.25">
      <c r="A749" t="s">
        <v>122</v>
      </c>
      <c r="B749">
        <v>1354549</v>
      </c>
      <c r="D749">
        <v>90</v>
      </c>
      <c r="G749">
        <v>98</v>
      </c>
      <c r="H749">
        <v>80</v>
      </c>
      <c r="I749" t="s">
        <v>236</v>
      </c>
      <c r="J749">
        <v>95</v>
      </c>
      <c r="K749">
        <v>535</v>
      </c>
      <c r="L749" t="str">
        <f t="shared" ref="L749:L750" si="106">IF(K749:K1747&lt;=79,"sweet",IF(K749:K1747&lt;=120,"normal",IF(K749:K1747&lt;=250,"high",IF(K749:K1747&lt;=1000,"very high"))))</f>
        <v>very high</v>
      </c>
      <c r="M749" t="s">
        <v>36</v>
      </c>
      <c r="P749" s="7" t="s">
        <v>765</v>
      </c>
      <c r="Q749" s="7" t="s">
        <v>765</v>
      </c>
    </row>
    <row r="750" spans="1:17" x14ac:dyDescent="0.25">
      <c r="A750" t="s">
        <v>121</v>
      </c>
      <c r="B750">
        <v>7876455</v>
      </c>
      <c r="D750">
        <v>65</v>
      </c>
      <c r="G750">
        <v>98</v>
      </c>
      <c r="H750">
        <v>65</v>
      </c>
      <c r="I750" t="s">
        <v>94</v>
      </c>
      <c r="J750">
        <v>99</v>
      </c>
      <c r="K750">
        <v>130</v>
      </c>
      <c r="L750" t="str">
        <f t="shared" si="106"/>
        <v>high</v>
      </c>
      <c r="O750" t="s">
        <v>967</v>
      </c>
      <c r="P750" s="7" t="s">
        <v>765</v>
      </c>
      <c r="Q750" s="7" t="s">
        <v>766</v>
      </c>
    </row>
    <row r="751" spans="1:17" hidden="1" x14ac:dyDescent="0.25">
      <c r="A751" t="s">
        <v>127</v>
      </c>
      <c r="B751">
        <v>78787541</v>
      </c>
      <c r="D751">
        <v>60</v>
      </c>
      <c r="G751">
        <v>98</v>
      </c>
      <c r="H751">
        <v>100</v>
      </c>
      <c r="I751" t="s">
        <v>240</v>
      </c>
      <c r="J751">
        <v>55</v>
      </c>
      <c r="K751" t="s">
        <v>5</v>
      </c>
      <c r="O751" t="s">
        <v>967</v>
      </c>
      <c r="P751" s="7" t="s">
        <v>765</v>
      </c>
      <c r="Q751" s="7" t="s">
        <v>766</v>
      </c>
    </row>
    <row r="752" spans="1:17" x14ac:dyDescent="0.25">
      <c r="A752" t="s">
        <v>129</v>
      </c>
      <c r="B752">
        <v>7878456</v>
      </c>
      <c r="D752">
        <v>63</v>
      </c>
      <c r="G752">
        <v>98</v>
      </c>
      <c r="H752">
        <v>62</v>
      </c>
      <c r="I752" t="s">
        <v>124</v>
      </c>
      <c r="J752">
        <v>65</v>
      </c>
      <c r="K752">
        <v>275</v>
      </c>
      <c r="L752" t="str">
        <f t="shared" ref="L752:L758" si="107">IF(K752:K1750&lt;=79,"sweet",IF(K752:K1750&lt;=120,"normal",IF(K752:K1750&lt;=250,"high",IF(K752:K1750&lt;=1000,"very high"))))</f>
        <v>very high</v>
      </c>
      <c r="P752" s="7" t="s">
        <v>765</v>
      </c>
      <c r="Q752" s="7" t="s">
        <v>766</v>
      </c>
    </row>
    <row r="753" spans="1:17" x14ac:dyDescent="0.25">
      <c r="A753" t="s">
        <v>132</v>
      </c>
      <c r="B753">
        <v>7865462</v>
      </c>
      <c r="D753">
        <v>81</v>
      </c>
      <c r="G753">
        <v>98</v>
      </c>
      <c r="H753">
        <v>75</v>
      </c>
      <c r="I753" s="3" t="s">
        <v>53</v>
      </c>
      <c r="J753">
        <v>95</v>
      </c>
      <c r="K753">
        <v>353</v>
      </c>
      <c r="L753" t="str">
        <f t="shared" si="107"/>
        <v>very high</v>
      </c>
      <c r="N753" t="s">
        <v>972</v>
      </c>
      <c r="O753" t="s">
        <v>967</v>
      </c>
      <c r="P753" s="7" t="s">
        <v>765</v>
      </c>
      <c r="Q753" s="7" t="s">
        <v>766</v>
      </c>
    </row>
    <row r="754" spans="1:17" x14ac:dyDescent="0.25">
      <c r="A754" t="s">
        <v>117</v>
      </c>
      <c r="B754">
        <v>4654512</v>
      </c>
      <c r="D754">
        <v>65</v>
      </c>
      <c r="G754">
        <v>98</v>
      </c>
      <c r="H754">
        <v>96</v>
      </c>
      <c r="I754" t="s">
        <v>245</v>
      </c>
      <c r="J754">
        <v>99</v>
      </c>
      <c r="K754">
        <v>185</v>
      </c>
      <c r="L754" t="str">
        <f t="shared" si="107"/>
        <v>high</v>
      </c>
      <c r="P754" s="7" t="s">
        <v>765</v>
      </c>
      <c r="Q754" s="7" t="s">
        <v>766</v>
      </c>
    </row>
    <row r="755" spans="1:17" x14ac:dyDescent="0.25">
      <c r="A755" t="s">
        <v>269</v>
      </c>
      <c r="B755">
        <v>7875465</v>
      </c>
      <c r="D755">
        <v>71</v>
      </c>
      <c r="G755">
        <v>98</v>
      </c>
      <c r="H755">
        <v>126</v>
      </c>
      <c r="I755" t="s">
        <v>62</v>
      </c>
      <c r="J755">
        <v>97</v>
      </c>
      <c r="K755">
        <v>147</v>
      </c>
      <c r="L755" t="str">
        <f t="shared" si="107"/>
        <v>high</v>
      </c>
      <c r="P755" s="7" t="s">
        <v>765</v>
      </c>
      <c r="Q755" s="7" t="s">
        <v>766</v>
      </c>
    </row>
    <row r="756" spans="1:17" x14ac:dyDescent="0.25">
      <c r="A756" t="s">
        <v>741</v>
      </c>
      <c r="B756">
        <v>7895431</v>
      </c>
      <c r="D756">
        <v>60</v>
      </c>
      <c r="G756">
        <v>98</v>
      </c>
      <c r="H756">
        <v>89</v>
      </c>
      <c r="I756" t="s">
        <v>6</v>
      </c>
      <c r="J756">
        <v>88</v>
      </c>
      <c r="K756">
        <v>164</v>
      </c>
      <c r="L756" t="str">
        <f t="shared" si="107"/>
        <v>high</v>
      </c>
      <c r="P756" s="7" t="s">
        <v>765</v>
      </c>
      <c r="Q756" s="7" t="s">
        <v>766</v>
      </c>
    </row>
    <row r="757" spans="1:17" x14ac:dyDescent="0.25">
      <c r="A757" t="s">
        <v>742</v>
      </c>
      <c r="B757">
        <v>7876542</v>
      </c>
      <c r="D757">
        <v>38</v>
      </c>
      <c r="G757">
        <v>98</v>
      </c>
      <c r="H757">
        <v>70</v>
      </c>
      <c r="I757" t="s">
        <v>249</v>
      </c>
      <c r="J757">
        <v>99</v>
      </c>
      <c r="K757">
        <v>350</v>
      </c>
      <c r="L757" t="str">
        <f t="shared" si="107"/>
        <v>very high</v>
      </c>
      <c r="P757" s="7" t="s">
        <v>765</v>
      </c>
      <c r="Q757" s="7" t="s">
        <v>766</v>
      </c>
    </row>
    <row r="758" spans="1:17" x14ac:dyDescent="0.25">
      <c r="A758" t="s">
        <v>744</v>
      </c>
      <c r="B758">
        <v>9513214</v>
      </c>
      <c r="D758">
        <v>55</v>
      </c>
      <c r="G758">
        <v>98</v>
      </c>
      <c r="H758">
        <v>80</v>
      </c>
      <c r="I758" t="s">
        <v>194</v>
      </c>
      <c r="J758">
        <v>99</v>
      </c>
      <c r="K758">
        <v>80</v>
      </c>
      <c r="L758" t="str">
        <f t="shared" si="107"/>
        <v>normal</v>
      </c>
      <c r="P758" s="7" t="s">
        <v>765</v>
      </c>
      <c r="Q758" s="7" t="s">
        <v>766</v>
      </c>
    </row>
    <row r="759" spans="1:17" hidden="1" x14ac:dyDescent="0.25">
      <c r="A759" t="s">
        <v>745</v>
      </c>
      <c r="B759">
        <v>9521232</v>
      </c>
      <c r="D759">
        <v>77</v>
      </c>
      <c r="G759">
        <v>98</v>
      </c>
      <c r="H759">
        <v>92</v>
      </c>
      <c r="I759" t="s">
        <v>77</v>
      </c>
      <c r="K759" t="s">
        <v>5</v>
      </c>
      <c r="P759" s="7" t="s">
        <v>766</v>
      </c>
      <c r="Q759" s="7" t="s">
        <v>766</v>
      </c>
    </row>
    <row r="760" spans="1:17" x14ac:dyDescent="0.25">
      <c r="A760" t="s">
        <v>747</v>
      </c>
      <c r="B760">
        <v>9575322</v>
      </c>
      <c r="D760">
        <v>50</v>
      </c>
      <c r="G760">
        <v>98</v>
      </c>
      <c r="H760">
        <v>100</v>
      </c>
      <c r="I760" t="s">
        <v>68</v>
      </c>
      <c r="J760">
        <v>83</v>
      </c>
      <c r="K760">
        <v>246</v>
      </c>
      <c r="L760" t="str">
        <f t="shared" ref="L760:L767" si="108">IF(K760:K1758&lt;=79,"sweet",IF(K760:K1758&lt;=120,"normal",IF(K760:K1758&lt;=250,"high",IF(K760:K1758&lt;=1000,"very high"))))</f>
        <v>high</v>
      </c>
      <c r="P760" s="7" t="s">
        <v>766</v>
      </c>
      <c r="Q760" s="7" t="s">
        <v>766</v>
      </c>
    </row>
    <row r="761" spans="1:17" x14ac:dyDescent="0.25">
      <c r="A761" t="s">
        <v>748</v>
      </c>
      <c r="B761">
        <v>9536545</v>
      </c>
      <c r="D761">
        <v>57</v>
      </c>
      <c r="G761">
        <v>98</v>
      </c>
      <c r="H761">
        <v>54</v>
      </c>
      <c r="I761" t="s">
        <v>96</v>
      </c>
      <c r="J761">
        <v>100</v>
      </c>
      <c r="K761">
        <v>177</v>
      </c>
      <c r="L761" t="str">
        <f t="shared" si="108"/>
        <v>high</v>
      </c>
      <c r="P761" s="7" t="s">
        <v>766</v>
      </c>
      <c r="Q761" s="7" t="s">
        <v>766</v>
      </c>
    </row>
    <row r="762" spans="1:17" x14ac:dyDescent="0.25">
      <c r="A762" t="s">
        <v>749</v>
      </c>
      <c r="B762">
        <v>3566855</v>
      </c>
      <c r="D762">
        <v>46</v>
      </c>
      <c r="G762">
        <v>98</v>
      </c>
      <c r="H762">
        <v>84</v>
      </c>
      <c r="I762" t="s">
        <v>194</v>
      </c>
      <c r="J762">
        <v>102</v>
      </c>
      <c r="K762">
        <v>317</v>
      </c>
      <c r="L762" t="str">
        <f t="shared" si="108"/>
        <v>very high</v>
      </c>
      <c r="P762" s="7" t="s">
        <v>766</v>
      </c>
      <c r="Q762" s="7" t="s">
        <v>766</v>
      </c>
    </row>
    <row r="763" spans="1:17" x14ac:dyDescent="0.25">
      <c r="A763" t="s">
        <v>750</v>
      </c>
      <c r="B763">
        <v>4568876</v>
      </c>
      <c r="D763">
        <v>60</v>
      </c>
      <c r="G763">
        <v>98</v>
      </c>
      <c r="H763">
        <v>65</v>
      </c>
      <c r="I763" t="s">
        <v>301</v>
      </c>
      <c r="J763">
        <v>24</v>
      </c>
      <c r="K763">
        <v>152</v>
      </c>
      <c r="L763" t="str">
        <f t="shared" si="108"/>
        <v>high</v>
      </c>
      <c r="P763" s="7" t="s">
        <v>766</v>
      </c>
      <c r="Q763" s="7" t="s">
        <v>766</v>
      </c>
    </row>
    <row r="764" spans="1:17" x14ac:dyDescent="0.25">
      <c r="A764" t="s">
        <v>661</v>
      </c>
      <c r="B764">
        <v>4457778</v>
      </c>
      <c r="D764">
        <v>71</v>
      </c>
      <c r="G764">
        <v>98</v>
      </c>
      <c r="H764">
        <v>95</v>
      </c>
      <c r="I764" t="s">
        <v>302</v>
      </c>
      <c r="J764">
        <v>98</v>
      </c>
      <c r="K764">
        <v>82</v>
      </c>
      <c r="L764" t="str">
        <f t="shared" si="108"/>
        <v>normal</v>
      </c>
      <c r="P764" s="7" t="s">
        <v>766</v>
      </c>
      <c r="Q764" s="7" t="s">
        <v>766</v>
      </c>
    </row>
    <row r="765" spans="1:17" x14ac:dyDescent="0.25">
      <c r="A765" t="s">
        <v>752</v>
      </c>
      <c r="B765">
        <v>1314545</v>
      </c>
      <c r="D765">
        <v>65</v>
      </c>
      <c r="G765">
        <v>98</v>
      </c>
      <c r="H765">
        <v>90</v>
      </c>
      <c r="I765" t="s">
        <v>711</v>
      </c>
      <c r="J765">
        <v>80</v>
      </c>
      <c r="K765">
        <v>273</v>
      </c>
      <c r="L765" t="str">
        <f t="shared" si="108"/>
        <v>very high</v>
      </c>
      <c r="P765" s="7" t="s">
        <v>766</v>
      </c>
      <c r="Q765" s="7" t="s">
        <v>766</v>
      </c>
    </row>
    <row r="766" spans="1:17" x14ac:dyDescent="0.25">
      <c r="A766" t="s">
        <v>744</v>
      </c>
      <c r="B766">
        <v>7856465</v>
      </c>
      <c r="D766">
        <v>64</v>
      </c>
      <c r="G766">
        <v>98</v>
      </c>
      <c r="H766">
        <v>90</v>
      </c>
      <c r="I766" t="s">
        <v>194</v>
      </c>
      <c r="J766">
        <v>85</v>
      </c>
      <c r="K766">
        <v>352</v>
      </c>
      <c r="L766" t="str">
        <f t="shared" si="108"/>
        <v>very high</v>
      </c>
      <c r="P766" s="7" t="s">
        <v>766</v>
      </c>
      <c r="Q766" s="7" t="s">
        <v>766</v>
      </c>
    </row>
    <row r="767" spans="1:17" x14ac:dyDescent="0.25">
      <c r="A767" t="s">
        <v>339</v>
      </c>
      <c r="B767">
        <v>3455546</v>
      </c>
      <c r="D767">
        <v>44</v>
      </c>
      <c r="G767">
        <v>98</v>
      </c>
      <c r="H767">
        <v>40</v>
      </c>
      <c r="I767" t="s">
        <v>304</v>
      </c>
      <c r="J767">
        <v>81</v>
      </c>
      <c r="K767">
        <v>120</v>
      </c>
      <c r="L767" t="str">
        <f t="shared" si="108"/>
        <v>normal</v>
      </c>
      <c r="P767" s="7" t="s">
        <v>766</v>
      </c>
      <c r="Q767" s="7" t="s">
        <v>766</v>
      </c>
    </row>
    <row r="768" spans="1:17" hidden="1" x14ac:dyDescent="0.25">
      <c r="A768" t="s">
        <v>340</v>
      </c>
      <c r="B768">
        <v>4546542</v>
      </c>
      <c r="D768">
        <v>50</v>
      </c>
      <c r="G768">
        <v>98</v>
      </c>
      <c r="H768">
        <v>122</v>
      </c>
      <c r="I768" t="s">
        <v>53</v>
      </c>
      <c r="J768">
        <v>81</v>
      </c>
      <c r="K768">
        <v>75</v>
      </c>
      <c r="P768" s="7" t="s">
        <v>766</v>
      </c>
      <c r="Q768" s="7" t="s">
        <v>766</v>
      </c>
    </row>
    <row r="769" spans="1:17" hidden="1" x14ac:dyDescent="0.25">
      <c r="A769" t="s">
        <v>341</v>
      </c>
      <c r="B769">
        <v>4648754</v>
      </c>
      <c r="D769">
        <v>32</v>
      </c>
      <c r="G769">
        <v>98</v>
      </c>
      <c r="H769">
        <v>96</v>
      </c>
      <c r="J769">
        <v>80</v>
      </c>
      <c r="K769">
        <v>27</v>
      </c>
      <c r="M769" t="s">
        <v>969</v>
      </c>
      <c r="P769" s="7" t="s">
        <v>766</v>
      </c>
      <c r="Q769" s="7" t="s">
        <v>767</v>
      </c>
    </row>
    <row r="770" spans="1:17" hidden="1" x14ac:dyDescent="0.25">
      <c r="A770" t="s">
        <v>343</v>
      </c>
      <c r="B770">
        <v>8877411</v>
      </c>
      <c r="D770">
        <v>38</v>
      </c>
      <c r="G770">
        <v>98</v>
      </c>
      <c r="H770">
        <v>90</v>
      </c>
      <c r="I770" t="s">
        <v>53</v>
      </c>
      <c r="J770">
        <v>99</v>
      </c>
      <c r="P770" s="7" t="s">
        <v>766</v>
      </c>
      <c r="Q770" s="7" t="s">
        <v>767</v>
      </c>
    </row>
    <row r="771" spans="1:17" hidden="1" x14ac:dyDescent="0.25">
      <c r="A771" t="s">
        <v>344</v>
      </c>
      <c r="B771">
        <v>3651232</v>
      </c>
      <c r="D771">
        <v>40</v>
      </c>
      <c r="G771">
        <v>98</v>
      </c>
      <c r="H771">
        <v>144</v>
      </c>
      <c r="I771" t="s">
        <v>229</v>
      </c>
      <c r="J771">
        <v>70</v>
      </c>
      <c r="K771">
        <v>50</v>
      </c>
      <c r="P771" s="7" t="s">
        <v>766</v>
      </c>
      <c r="Q771" s="7" t="s">
        <v>767</v>
      </c>
    </row>
    <row r="772" spans="1:17" hidden="1" x14ac:dyDescent="0.25">
      <c r="A772" t="s">
        <v>346</v>
      </c>
      <c r="B772">
        <v>1023544</v>
      </c>
      <c r="D772">
        <v>80</v>
      </c>
      <c r="G772">
        <v>98</v>
      </c>
      <c r="H772">
        <v>100</v>
      </c>
      <c r="I772" t="s">
        <v>154</v>
      </c>
      <c r="J772">
        <v>96</v>
      </c>
      <c r="K772">
        <v>79</v>
      </c>
      <c r="P772" s="7" t="s">
        <v>766</v>
      </c>
      <c r="Q772" s="7" t="s">
        <v>767</v>
      </c>
    </row>
    <row r="773" spans="1:17" hidden="1" x14ac:dyDescent="0.25">
      <c r="A773" t="s">
        <v>348</v>
      </c>
      <c r="B773">
        <v>8568442</v>
      </c>
      <c r="D773">
        <v>16</v>
      </c>
      <c r="G773">
        <v>98</v>
      </c>
      <c r="H773">
        <v>123</v>
      </c>
      <c r="I773" t="s">
        <v>94</v>
      </c>
      <c r="J773">
        <v>125</v>
      </c>
      <c r="P773" s="7" t="s">
        <v>766</v>
      </c>
      <c r="Q773" s="7" t="s">
        <v>767</v>
      </c>
    </row>
    <row r="774" spans="1:17" hidden="1" x14ac:dyDescent="0.25">
      <c r="A774" t="s">
        <v>139</v>
      </c>
      <c r="B774">
        <v>9535445</v>
      </c>
      <c r="D774">
        <v>59</v>
      </c>
      <c r="G774">
        <v>98</v>
      </c>
      <c r="H774">
        <v>112</v>
      </c>
      <c r="J774">
        <v>82</v>
      </c>
      <c r="P774" s="7" t="s">
        <v>766</v>
      </c>
      <c r="Q774" s="7" t="s">
        <v>767</v>
      </c>
    </row>
    <row r="775" spans="1:17" x14ac:dyDescent="0.25">
      <c r="A775" t="s">
        <v>349</v>
      </c>
      <c r="B775">
        <v>9562123</v>
      </c>
      <c r="D775">
        <v>45</v>
      </c>
      <c r="G775">
        <v>98</v>
      </c>
      <c r="H775">
        <v>120</v>
      </c>
      <c r="I775" t="s">
        <v>6</v>
      </c>
      <c r="J775">
        <v>99</v>
      </c>
      <c r="K775">
        <v>81</v>
      </c>
      <c r="L775" t="str">
        <f t="shared" ref="L775:L784" si="109">IF(K775:K1773&lt;=79,"sweet",IF(K775:K1773&lt;=120,"normal",IF(K775:K1773&lt;=250,"high",IF(K775:K1773&lt;=1000,"very high"))))</f>
        <v>normal</v>
      </c>
      <c r="N775" t="s">
        <v>976</v>
      </c>
      <c r="P775" s="7" t="s">
        <v>766</v>
      </c>
      <c r="Q775" s="7" t="s">
        <v>767</v>
      </c>
    </row>
    <row r="776" spans="1:17" x14ac:dyDescent="0.25">
      <c r="A776" t="s">
        <v>350</v>
      </c>
      <c r="B776">
        <v>3356485</v>
      </c>
      <c r="D776">
        <v>30</v>
      </c>
      <c r="G776">
        <v>98</v>
      </c>
      <c r="H776">
        <v>109</v>
      </c>
      <c r="I776" t="s">
        <v>236</v>
      </c>
      <c r="J776">
        <v>83</v>
      </c>
      <c r="K776">
        <v>82</v>
      </c>
      <c r="L776" t="str">
        <f t="shared" si="109"/>
        <v>normal</v>
      </c>
      <c r="P776" s="7" t="s">
        <v>766</v>
      </c>
      <c r="Q776" s="7" t="s">
        <v>767</v>
      </c>
    </row>
    <row r="777" spans="1:17" x14ac:dyDescent="0.25">
      <c r="A777" t="s">
        <v>138</v>
      </c>
      <c r="B777">
        <v>3365895</v>
      </c>
      <c r="D777">
        <v>76</v>
      </c>
      <c r="G777">
        <v>98</v>
      </c>
      <c r="H777">
        <v>95</v>
      </c>
      <c r="I777" t="s">
        <v>249</v>
      </c>
      <c r="J777">
        <v>99</v>
      </c>
      <c r="K777">
        <v>120</v>
      </c>
      <c r="L777" t="str">
        <f t="shared" si="109"/>
        <v>normal</v>
      </c>
      <c r="P777" s="7" t="s">
        <v>767</v>
      </c>
      <c r="Q777" s="7" t="s">
        <v>767</v>
      </c>
    </row>
    <row r="778" spans="1:17" x14ac:dyDescent="0.25">
      <c r="A778" t="s">
        <v>139</v>
      </c>
      <c r="B778">
        <v>3345695</v>
      </c>
      <c r="D778">
        <v>65</v>
      </c>
      <c r="G778">
        <v>98</v>
      </c>
      <c r="H778">
        <v>79</v>
      </c>
      <c r="I778" t="s">
        <v>194</v>
      </c>
      <c r="J778">
        <v>99</v>
      </c>
      <c r="K778">
        <v>120</v>
      </c>
      <c r="L778" t="str">
        <f t="shared" si="109"/>
        <v>normal</v>
      </c>
      <c r="P778" s="7" t="s">
        <v>767</v>
      </c>
      <c r="Q778" s="7" t="s">
        <v>767</v>
      </c>
    </row>
    <row r="779" spans="1:17" x14ac:dyDescent="0.25">
      <c r="A779" t="s">
        <v>140</v>
      </c>
      <c r="B779">
        <v>3344659</v>
      </c>
      <c r="D779">
        <v>19</v>
      </c>
      <c r="G779">
        <v>98</v>
      </c>
      <c r="H779">
        <v>80</v>
      </c>
      <c r="I779" t="s">
        <v>77</v>
      </c>
      <c r="J779">
        <v>90</v>
      </c>
      <c r="K779">
        <v>168</v>
      </c>
      <c r="L779" t="str">
        <f t="shared" si="109"/>
        <v>high</v>
      </c>
      <c r="P779" s="7" t="s">
        <v>767</v>
      </c>
      <c r="Q779" s="7" t="s">
        <v>767</v>
      </c>
    </row>
    <row r="780" spans="1:17" x14ac:dyDescent="0.25">
      <c r="A780" t="s">
        <v>141</v>
      </c>
      <c r="B780">
        <v>4459578</v>
      </c>
      <c r="D780">
        <v>52</v>
      </c>
      <c r="G780">
        <v>98</v>
      </c>
      <c r="H780">
        <v>110</v>
      </c>
      <c r="I780" t="s">
        <v>68</v>
      </c>
      <c r="J780">
        <v>99</v>
      </c>
      <c r="K780">
        <v>88</v>
      </c>
      <c r="L780" t="str">
        <f t="shared" si="109"/>
        <v>normal</v>
      </c>
      <c r="P780" s="7" t="s">
        <v>767</v>
      </c>
      <c r="Q780" s="7" t="s">
        <v>767</v>
      </c>
    </row>
    <row r="781" spans="1:17" x14ac:dyDescent="0.25">
      <c r="A781" t="s">
        <v>143</v>
      </c>
      <c r="B781">
        <v>6688655</v>
      </c>
      <c r="D781">
        <v>90</v>
      </c>
      <c r="G781">
        <v>98</v>
      </c>
      <c r="H781">
        <v>69</v>
      </c>
      <c r="I781" t="s">
        <v>96</v>
      </c>
      <c r="J781">
        <v>91</v>
      </c>
      <c r="K781">
        <v>130</v>
      </c>
      <c r="L781" t="str">
        <f t="shared" si="109"/>
        <v>high</v>
      </c>
      <c r="P781" s="7" t="s">
        <v>767</v>
      </c>
      <c r="Q781" s="7" t="s">
        <v>767</v>
      </c>
    </row>
    <row r="782" spans="1:17" x14ac:dyDescent="0.25">
      <c r="A782" t="s">
        <v>144</v>
      </c>
      <c r="B782">
        <v>9865623</v>
      </c>
      <c r="D782">
        <v>78</v>
      </c>
      <c r="G782">
        <v>98</v>
      </c>
      <c r="H782">
        <v>78</v>
      </c>
      <c r="I782" t="s">
        <v>194</v>
      </c>
      <c r="J782">
        <v>99</v>
      </c>
      <c r="K782">
        <v>197</v>
      </c>
      <c r="L782" t="str">
        <f t="shared" si="109"/>
        <v>high</v>
      </c>
      <c r="N782" t="s">
        <v>972</v>
      </c>
      <c r="P782" s="7" t="s">
        <v>767</v>
      </c>
      <c r="Q782" s="7" t="s">
        <v>767</v>
      </c>
    </row>
    <row r="783" spans="1:17" x14ac:dyDescent="0.25">
      <c r="A783" t="s">
        <v>146</v>
      </c>
      <c r="B783">
        <v>4587875</v>
      </c>
      <c r="D783">
        <v>55</v>
      </c>
      <c r="G783">
        <v>98</v>
      </c>
      <c r="H783">
        <v>34</v>
      </c>
      <c r="I783" t="s">
        <v>301</v>
      </c>
      <c r="J783">
        <v>90</v>
      </c>
      <c r="K783">
        <v>161</v>
      </c>
      <c r="L783" t="str">
        <f t="shared" si="109"/>
        <v>high</v>
      </c>
      <c r="P783" s="7" t="s">
        <v>767</v>
      </c>
      <c r="Q783" s="7" t="s">
        <v>767</v>
      </c>
    </row>
    <row r="784" spans="1:17" x14ac:dyDescent="0.25">
      <c r="A784" t="s">
        <v>148</v>
      </c>
      <c r="B784">
        <v>9665555</v>
      </c>
      <c r="D784">
        <v>71</v>
      </c>
      <c r="G784">
        <v>98</v>
      </c>
      <c r="H784">
        <v>62</v>
      </c>
      <c r="I784" t="s">
        <v>302</v>
      </c>
      <c r="J784">
        <v>85</v>
      </c>
      <c r="K784">
        <v>551</v>
      </c>
      <c r="L784" t="str">
        <f t="shared" si="109"/>
        <v>very high</v>
      </c>
      <c r="N784" t="s">
        <v>974</v>
      </c>
      <c r="P784" s="7" t="s">
        <v>767</v>
      </c>
      <c r="Q784" s="7" t="s">
        <v>767</v>
      </c>
    </row>
    <row r="785" spans="1:17" hidden="1" x14ac:dyDescent="0.25">
      <c r="A785" t="s">
        <v>149</v>
      </c>
      <c r="B785">
        <v>7564654</v>
      </c>
      <c r="D785">
        <v>60</v>
      </c>
      <c r="G785">
        <v>98</v>
      </c>
      <c r="I785" t="s">
        <v>711</v>
      </c>
      <c r="J785">
        <v>85</v>
      </c>
      <c r="P785" s="7" t="s">
        <v>767</v>
      </c>
      <c r="Q785" s="7" t="s">
        <v>767</v>
      </c>
    </row>
    <row r="786" spans="1:17" x14ac:dyDescent="0.25">
      <c r="A786" t="s">
        <v>150</v>
      </c>
      <c r="B786">
        <v>7879875</v>
      </c>
      <c r="D786">
        <v>30</v>
      </c>
      <c r="G786">
        <v>98</v>
      </c>
      <c r="H786">
        <v>96</v>
      </c>
      <c r="I786" t="s">
        <v>833</v>
      </c>
      <c r="J786">
        <v>95</v>
      </c>
      <c r="K786">
        <v>166</v>
      </c>
      <c r="L786" t="str">
        <f>IF(K786:K1784&lt;=79,"sweet",IF(K786:K1784&lt;=120,"normal",IF(K786:K1784&lt;=250,"high",IF(K786:K1784&lt;=1000,"very high"))))</f>
        <v>high</v>
      </c>
      <c r="P786" s="7" t="s">
        <v>767</v>
      </c>
      <c r="Q786" s="7" t="s">
        <v>767</v>
      </c>
    </row>
    <row r="787" spans="1:17" hidden="1" x14ac:dyDescent="0.25">
      <c r="A787" t="s">
        <v>151</v>
      </c>
      <c r="B787">
        <v>1235223</v>
      </c>
      <c r="D787">
        <v>76</v>
      </c>
      <c r="G787">
        <v>98</v>
      </c>
      <c r="H787">
        <v>126</v>
      </c>
      <c r="I787" t="s">
        <v>304</v>
      </c>
      <c r="K787">
        <v>76</v>
      </c>
      <c r="P787" s="7" t="s">
        <v>767</v>
      </c>
      <c r="Q787" s="7" t="s">
        <v>768</v>
      </c>
    </row>
    <row r="788" spans="1:17" hidden="1" x14ac:dyDescent="0.25">
      <c r="A788" t="s">
        <v>99</v>
      </c>
      <c r="B788">
        <v>6636661</v>
      </c>
      <c r="D788">
        <v>65</v>
      </c>
      <c r="G788">
        <v>98</v>
      </c>
      <c r="H788">
        <v>89</v>
      </c>
      <c r="I788" t="s">
        <v>53</v>
      </c>
      <c r="P788" s="7" t="s">
        <v>767</v>
      </c>
      <c r="Q788" s="7" t="s">
        <v>768</v>
      </c>
    </row>
    <row r="789" spans="1:17" x14ac:dyDescent="0.25">
      <c r="A789" t="s">
        <v>153</v>
      </c>
      <c r="B789">
        <v>8558565</v>
      </c>
      <c r="D789">
        <v>19</v>
      </c>
      <c r="G789">
        <v>98</v>
      </c>
      <c r="H789">
        <v>70</v>
      </c>
      <c r="I789" t="s">
        <v>49</v>
      </c>
      <c r="J789">
        <v>100</v>
      </c>
      <c r="K789">
        <v>128</v>
      </c>
      <c r="L789" t="str">
        <f t="shared" ref="L789:L790" si="110">IF(K789:K1787&lt;=79,"sweet",IF(K789:K1787&lt;=120,"normal",IF(K789:K1787&lt;=250,"high",IF(K789:K1787&lt;=1000,"very high"))))</f>
        <v>high</v>
      </c>
      <c r="P789" s="7" t="s">
        <v>767</v>
      </c>
      <c r="Q789" s="7" t="s">
        <v>768</v>
      </c>
    </row>
    <row r="790" spans="1:17" x14ac:dyDescent="0.25">
      <c r="A790" t="s">
        <v>48</v>
      </c>
      <c r="B790">
        <v>7878545</v>
      </c>
      <c r="D790">
        <v>52</v>
      </c>
      <c r="G790">
        <v>98</v>
      </c>
      <c r="H790">
        <v>80</v>
      </c>
      <c r="I790" t="s">
        <v>6</v>
      </c>
      <c r="J790">
        <v>99</v>
      </c>
      <c r="K790">
        <v>214</v>
      </c>
      <c r="L790" t="str">
        <f t="shared" si="110"/>
        <v>high</v>
      </c>
      <c r="P790" s="7" t="s">
        <v>767</v>
      </c>
      <c r="Q790" s="7" t="s">
        <v>768</v>
      </c>
    </row>
    <row r="791" spans="1:17" hidden="1" x14ac:dyDescent="0.25">
      <c r="A791" t="s">
        <v>90</v>
      </c>
      <c r="B791">
        <v>1126545</v>
      </c>
      <c r="D791">
        <v>90</v>
      </c>
      <c r="G791">
        <v>98</v>
      </c>
      <c r="H791">
        <v>92</v>
      </c>
      <c r="I791" t="s">
        <v>68</v>
      </c>
      <c r="J791">
        <v>10</v>
      </c>
      <c r="K791">
        <v>32</v>
      </c>
      <c r="P791" s="7" t="s">
        <v>767</v>
      </c>
      <c r="Q791" s="7" t="s">
        <v>768</v>
      </c>
    </row>
    <row r="792" spans="1:17" x14ac:dyDescent="0.25">
      <c r="A792" t="s">
        <v>269</v>
      </c>
      <c r="B792">
        <v>1135656</v>
      </c>
      <c r="D792">
        <v>78</v>
      </c>
      <c r="G792">
        <v>98</v>
      </c>
      <c r="H792">
        <v>100</v>
      </c>
      <c r="I792" t="s">
        <v>96</v>
      </c>
      <c r="J792">
        <v>24</v>
      </c>
      <c r="K792">
        <v>143</v>
      </c>
      <c r="L792" t="str">
        <f t="shared" ref="L792:L793" si="111">IF(K792:K1790&lt;=79,"sweet",IF(K792:K1790&lt;=120,"normal",IF(K792:K1790&lt;=250,"high",IF(K792:K1790&lt;=1000,"very high"))))</f>
        <v>high</v>
      </c>
      <c r="P792" s="7" t="s">
        <v>767</v>
      </c>
      <c r="Q792" s="7" t="s">
        <v>768</v>
      </c>
    </row>
    <row r="793" spans="1:17" x14ac:dyDescent="0.25">
      <c r="A793" t="s">
        <v>270</v>
      </c>
      <c r="B793">
        <v>5465785</v>
      </c>
      <c r="D793">
        <v>55</v>
      </c>
      <c r="G793">
        <v>98</v>
      </c>
      <c r="H793">
        <v>54</v>
      </c>
      <c r="I793" t="s">
        <v>77</v>
      </c>
      <c r="J793">
        <v>98</v>
      </c>
      <c r="K793">
        <v>80</v>
      </c>
      <c r="L793" t="str">
        <f t="shared" si="111"/>
        <v>normal</v>
      </c>
      <c r="P793" s="7" t="s">
        <v>767</v>
      </c>
      <c r="Q793" s="7" t="s">
        <v>768</v>
      </c>
    </row>
    <row r="794" spans="1:17" hidden="1" x14ac:dyDescent="0.25">
      <c r="A794" t="s">
        <v>271</v>
      </c>
      <c r="B794">
        <v>9665885</v>
      </c>
      <c r="D794">
        <v>71</v>
      </c>
      <c r="G794">
        <v>98</v>
      </c>
      <c r="H794">
        <v>84</v>
      </c>
      <c r="J794">
        <v>80</v>
      </c>
      <c r="K794">
        <v>22</v>
      </c>
      <c r="N794" t="s">
        <v>975</v>
      </c>
      <c r="P794" s="7" t="s">
        <v>767</v>
      </c>
      <c r="Q794" s="7" t="s">
        <v>768</v>
      </c>
    </row>
    <row r="795" spans="1:17" x14ac:dyDescent="0.25">
      <c r="A795" t="s">
        <v>272</v>
      </c>
      <c r="B795">
        <v>356122</v>
      </c>
      <c r="D795">
        <v>60</v>
      </c>
      <c r="G795">
        <v>98</v>
      </c>
      <c r="H795">
        <v>65</v>
      </c>
      <c r="I795" t="s">
        <v>249</v>
      </c>
      <c r="J795">
        <v>85</v>
      </c>
      <c r="K795">
        <v>97</v>
      </c>
      <c r="L795" t="str">
        <f t="shared" ref="L795:L800" si="112">IF(K795:K1793&lt;=79,"sweet",IF(K795:K1793&lt;=120,"normal",IF(K795:K1793&lt;=250,"high",IF(K795:K1793&lt;=1000,"very high"))))</f>
        <v>normal</v>
      </c>
      <c r="O795" t="s">
        <v>967</v>
      </c>
      <c r="P795" s="7" t="s">
        <v>767</v>
      </c>
      <c r="Q795" s="7" t="s">
        <v>768</v>
      </c>
    </row>
    <row r="796" spans="1:17" x14ac:dyDescent="0.25">
      <c r="A796" t="s">
        <v>274</v>
      </c>
      <c r="B796">
        <v>1033236</v>
      </c>
      <c r="D796">
        <v>78</v>
      </c>
      <c r="G796">
        <v>98</v>
      </c>
      <c r="H796">
        <v>95</v>
      </c>
      <c r="I796" t="s">
        <v>194</v>
      </c>
      <c r="J796">
        <v>81</v>
      </c>
      <c r="K796">
        <v>253</v>
      </c>
      <c r="L796" t="str">
        <f t="shared" si="112"/>
        <v>very high</v>
      </c>
      <c r="P796" s="7" t="s">
        <v>767</v>
      </c>
      <c r="Q796" s="7" t="s">
        <v>768</v>
      </c>
    </row>
    <row r="797" spans="1:17" x14ac:dyDescent="0.25">
      <c r="A797" t="s">
        <v>275</v>
      </c>
      <c r="B797">
        <v>1035246</v>
      </c>
      <c r="D797">
        <v>65</v>
      </c>
      <c r="G797">
        <v>98</v>
      </c>
      <c r="H797">
        <v>90</v>
      </c>
      <c r="I797" t="s">
        <v>0</v>
      </c>
      <c r="J797">
        <v>81</v>
      </c>
      <c r="K797">
        <v>88</v>
      </c>
      <c r="L797" t="str">
        <f t="shared" si="112"/>
        <v>normal</v>
      </c>
      <c r="O797" t="s">
        <v>967</v>
      </c>
      <c r="P797" s="7" t="s">
        <v>768</v>
      </c>
      <c r="Q797" s="7" t="s">
        <v>768</v>
      </c>
    </row>
    <row r="798" spans="1:17" x14ac:dyDescent="0.25">
      <c r="A798" t="s">
        <v>276</v>
      </c>
      <c r="B798">
        <v>1025898</v>
      </c>
      <c r="D798">
        <v>40</v>
      </c>
      <c r="G798">
        <v>98</v>
      </c>
      <c r="H798">
        <v>90</v>
      </c>
      <c r="I798" t="s">
        <v>0</v>
      </c>
      <c r="J798">
        <v>80</v>
      </c>
      <c r="K798">
        <v>130</v>
      </c>
      <c r="L798" t="str">
        <f t="shared" si="112"/>
        <v>high</v>
      </c>
      <c r="P798" s="7" t="s">
        <v>768</v>
      </c>
      <c r="Q798" s="7" t="s">
        <v>768</v>
      </c>
    </row>
    <row r="799" spans="1:17" x14ac:dyDescent="0.25">
      <c r="A799" t="s">
        <v>277</v>
      </c>
      <c r="B799">
        <v>1025478</v>
      </c>
      <c r="D799">
        <v>71</v>
      </c>
      <c r="G799">
        <v>98</v>
      </c>
      <c r="H799">
        <v>40</v>
      </c>
      <c r="I799" t="s">
        <v>6</v>
      </c>
      <c r="J799">
        <v>99</v>
      </c>
      <c r="K799">
        <v>197</v>
      </c>
      <c r="L799" t="str">
        <f t="shared" si="112"/>
        <v>high</v>
      </c>
      <c r="P799" s="7" t="s">
        <v>768</v>
      </c>
      <c r="Q799" s="7" t="s">
        <v>768</v>
      </c>
    </row>
    <row r="800" spans="1:17" x14ac:dyDescent="0.25">
      <c r="A800" t="s">
        <v>278</v>
      </c>
      <c r="B800">
        <v>1024866</v>
      </c>
      <c r="D800">
        <v>21</v>
      </c>
      <c r="G800">
        <v>98</v>
      </c>
      <c r="H800">
        <v>122</v>
      </c>
      <c r="I800" t="s">
        <v>136</v>
      </c>
      <c r="J800">
        <v>70</v>
      </c>
      <c r="K800">
        <v>161</v>
      </c>
      <c r="L800" t="str">
        <f t="shared" si="112"/>
        <v>high</v>
      </c>
      <c r="O800" t="s">
        <v>968</v>
      </c>
      <c r="P800" s="7" t="s">
        <v>768</v>
      </c>
      <c r="Q800" s="7" t="s">
        <v>768</v>
      </c>
    </row>
    <row r="801" spans="1:17" hidden="1" x14ac:dyDescent="0.25">
      <c r="A801" t="s">
        <v>769</v>
      </c>
      <c r="B801">
        <v>1028654</v>
      </c>
      <c r="D801">
        <v>71</v>
      </c>
      <c r="G801">
        <v>98</v>
      </c>
      <c r="H801">
        <v>89</v>
      </c>
      <c r="I801" t="s">
        <v>96</v>
      </c>
      <c r="P801" s="7" t="s">
        <v>770</v>
      </c>
      <c r="Q801" s="7" t="s">
        <v>770</v>
      </c>
    </row>
    <row r="802" spans="1:17" x14ac:dyDescent="0.25">
      <c r="A802" t="s">
        <v>771</v>
      </c>
      <c r="B802">
        <v>1028579</v>
      </c>
      <c r="D802">
        <v>87</v>
      </c>
      <c r="G802">
        <v>98</v>
      </c>
      <c r="H802">
        <v>67</v>
      </c>
      <c r="I802" t="s">
        <v>772</v>
      </c>
      <c r="J802">
        <v>99</v>
      </c>
      <c r="K802">
        <v>134</v>
      </c>
      <c r="L802" t="str">
        <f t="shared" ref="L802:L803" si="113">IF(K802:K1800&lt;=79,"sweet",IF(K802:K1800&lt;=120,"normal",IF(K802:K1800&lt;=250,"high",IF(K802:K1800&lt;=1000,"very high"))))</f>
        <v>high</v>
      </c>
      <c r="O802" t="s">
        <v>967</v>
      </c>
      <c r="P802" s="7" t="s">
        <v>770</v>
      </c>
      <c r="Q802" s="7" t="s">
        <v>770</v>
      </c>
    </row>
    <row r="803" spans="1:17" x14ac:dyDescent="0.25">
      <c r="A803" t="s">
        <v>773</v>
      </c>
      <c r="B803">
        <v>1025451</v>
      </c>
      <c r="D803">
        <v>60</v>
      </c>
      <c r="G803">
        <v>98</v>
      </c>
      <c r="H803">
        <v>80</v>
      </c>
      <c r="I803" t="s">
        <v>96</v>
      </c>
      <c r="J803">
        <v>93</v>
      </c>
      <c r="K803">
        <v>232</v>
      </c>
      <c r="L803" t="str">
        <f t="shared" si="113"/>
        <v>high</v>
      </c>
      <c r="O803" t="s">
        <v>967</v>
      </c>
      <c r="P803" s="7" t="s">
        <v>774</v>
      </c>
      <c r="Q803" s="7" t="s">
        <v>770</v>
      </c>
    </row>
    <row r="804" spans="1:17" hidden="1" x14ac:dyDescent="0.25">
      <c r="A804" t="s">
        <v>775</v>
      </c>
      <c r="B804">
        <v>1028945</v>
      </c>
      <c r="D804">
        <v>55</v>
      </c>
      <c r="G804">
        <v>98</v>
      </c>
      <c r="H804">
        <v>80</v>
      </c>
      <c r="I804" t="s">
        <v>254</v>
      </c>
      <c r="P804" s="7" t="s">
        <v>770</v>
      </c>
      <c r="Q804" s="7" t="s">
        <v>770</v>
      </c>
    </row>
    <row r="805" spans="1:17" x14ac:dyDescent="0.25">
      <c r="A805" t="s">
        <v>776</v>
      </c>
      <c r="B805">
        <v>1029037</v>
      </c>
      <c r="D805">
        <v>22</v>
      </c>
      <c r="G805">
        <v>98</v>
      </c>
      <c r="H805">
        <v>82</v>
      </c>
      <c r="I805" t="s">
        <v>28</v>
      </c>
      <c r="J805">
        <v>90</v>
      </c>
      <c r="K805">
        <v>172</v>
      </c>
      <c r="L805" t="str">
        <f>IF(K805:K1803&lt;=79,"sweet",IF(K805:K1803&lt;=120,"normal",IF(K805:K1803&lt;=250,"high",IF(K805:K1803&lt;=1000,"very high"))))</f>
        <v>high</v>
      </c>
      <c r="O805" t="s">
        <v>967</v>
      </c>
      <c r="P805" s="7" t="s">
        <v>770</v>
      </c>
      <c r="Q805" s="7" t="s">
        <v>770</v>
      </c>
    </row>
    <row r="806" spans="1:17" hidden="1" x14ac:dyDescent="0.25">
      <c r="A806" t="s">
        <v>104</v>
      </c>
      <c r="B806">
        <v>1029101</v>
      </c>
      <c r="D806">
        <v>60</v>
      </c>
      <c r="G806">
        <v>98</v>
      </c>
      <c r="H806">
        <v>96</v>
      </c>
      <c r="I806" t="s">
        <v>254</v>
      </c>
      <c r="J806">
        <v>85</v>
      </c>
      <c r="P806" s="7" t="s">
        <v>770</v>
      </c>
      <c r="Q806" s="7" t="s">
        <v>770</v>
      </c>
    </row>
    <row r="807" spans="1:17" x14ac:dyDescent="0.25">
      <c r="A807" t="s">
        <v>777</v>
      </c>
      <c r="B807">
        <v>1029107</v>
      </c>
      <c r="D807">
        <v>24</v>
      </c>
      <c r="G807">
        <v>98</v>
      </c>
      <c r="H807">
        <v>102</v>
      </c>
      <c r="I807" t="s">
        <v>154</v>
      </c>
      <c r="J807">
        <v>89</v>
      </c>
      <c r="K807">
        <v>319</v>
      </c>
      <c r="L807" t="str">
        <f>IF(K807:K1805&lt;=79,"sweet",IF(K807:K1805&lt;=120,"normal",IF(K807:K1805&lt;=250,"high",IF(K807:K1805&lt;=1000,"very high"))))</f>
        <v>very high</v>
      </c>
      <c r="M807" t="s">
        <v>970</v>
      </c>
      <c r="N807" t="s">
        <v>974</v>
      </c>
      <c r="P807" s="7" t="s">
        <v>770</v>
      </c>
      <c r="Q807" s="7" t="s">
        <v>770</v>
      </c>
    </row>
    <row r="808" spans="1:17" hidden="1" x14ac:dyDescent="0.25">
      <c r="A808" t="s">
        <v>778</v>
      </c>
      <c r="B808">
        <v>1029645</v>
      </c>
      <c r="D808">
        <v>71</v>
      </c>
      <c r="G808">
        <v>98</v>
      </c>
      <c r="H808">
        <v>103</v>
      </c>
      <c r="I808" t="s">
        <v>779</v>
      </c>
      <c r="J808">
        <v>96</v>
      </c>
      <c r="K808">
        <v>56</v>
      </c>
      <c r="P808" s="7" t="s">
        <v>792</v>
      </c>
      <c r="Q808" s="7" t="s">
        <v>792</v>
      </c>
    </row>
    <row r="809" spans="1:17" hidden="1" x14ac:dyDescent="0.25">
      <c r="A809" t="s">
        <v>344</v>
      </c>
      <c r="B809">
        <v>1032164</v>
      </c>
      <c r="D809">
        <v>60</v>
      </c>
      <c r="G809">
        <v>98</v>
      </c>
      <c r="H809">
        <v>110</v>
      </c>
      <c r="I809" t="s">
        <v>53</v>
      </c>
      <c r="J809">
        <v>88</v>
      </c>
      <c r="K809">
        <v>68</v>
      </c>
      <c r="P809" s="7" t="s">
        <v>780</v>
      </c>
      <c r="Q809" s="7" t="s">
        <v>780</v>
      </c>
    </row>
    <row r="810" spans="1:17" hidden="1" x14ac:dyDescent="0.25">
      <c r="A810" t="s">
        <v>781</v>
      </c>
      <c r="B810">
        <v>1029626</v>
      </c>
      <c r="D810">
        <v>78</v>
      </c>
      <c r="G810">
        <v>98</v>
      </c>
      <c r="H810">
        <v>116</v>
      </c>
      <c r="I810" t="s">
        <v>782</v>
      </c>
      <c r="J810">
        <v>96</v>
      </c>
      <c r="P810" s="7" t="s">
        <v>792</v>
      </c>
      <c r="Q810" s="7" t="s">
        <v>792</v>
      </c>
    </row>
    <row r="811" spans="1:17" hidden="1" x14ac:dyDescent="0.25">
      <c r="A811" t="s">
        <v>783</v>
      </c>
      <c r="B811">
        <v>1033453</v>
      </c>
      <c r="D811">
        <v>65</v>
      </c>
      <c r="G811">
        <v>98</v>
      </c>
      <c r="H811">
        <v>143</v>
      </c>
      <c r="I811" t="s">
        <v>28</v>
      </c>
      <c r="K811">
        <v>56</v>
      </c>
      <c r="P811" s="7" t="s">
        <v>780</v>
      </c>
      <c r="Q811" s="7" t="s">
        <v>780</v>
      </c>
    </row>
    <row r="812" spans="1:17" hidden="1" x14ac:dyDescent="0.25">
      <c r="A812" t="s">
        <v>784</v>
      </c>
      <c r="B812">
        <v>1029674</v>
      </c>
      <c r="D812">
        <v>40</v>
      </c>
      <c r="G812">
        <v>98</v>
      </c>
      <c r="H812">
        <v>116</v>
      </c>
      <c r="I812" t="s">
        <v>785</v>
      </c>
      <c r="O812" t="s">
        <v>967</v>
      </c>
      <c r="P812" s="7" t="s">
        <v>792</v>
      </c>
      <c r="Q812" s="7" t="s">
        <v>792</v>
      </c>
    </row>
    <row r="813" spans="1:17" x14ac:dyDescent="0.25">
      <c r="A813" t="s">
        <v>48</v>
      </c>
      <c r="B813">
        <v>1029089</v>
      </c>
      <c r="D813">
        <v>71</v>
      </c>
      <c r="G813">
        <v>98</v>
      </c>
      <c r="H813">
        <v>122</v>
      </c>
      <c r="I813" t="s">
        <v>56</v>
      </c>
      <c r="J813">
        <v>99</v>
      </c>
      <c r="K813">
        <v>591</v>
      </c>
      <c r="L813" t="str">
        <f>IF(K813:K1811&lt;=79,"sweet",IF(K813:K1811&lt;=120,"normal",IF(K813:K1811&lt;=250,"high",IF(K813:K1811&lt;=1000,"very high"))))</f>
        <v>very high</v>
      </c>
      <c r="M813" t="s">
        <v>970</v>
      </c>
      <c r="N813" t="s">
        <v>974</v>
      </c>
      <c r="P813" s="7" t="s">
        <v>792</v>
      </c>
      <c r="Q813" s="7" t="s">
        <v>792</v>
      </c>
    </row>
    <row r="814" spans="1:17" hidden="1" x14ac:dyDescent="0.25">
      <c r="A814" t="s">
        <v>220</v>
      </c>
      <c r="B814">
        <v>1032152</v>
      </c>
      <c r="D814">
        <v>21</v>
      </c>
      <c r="G814">
        <v>98</v>
      </c>
      <c r="H814">
        <v>83</v>
      </c>
      <c r="I814" t="s">
        <v>110</v>
      </c>
      <c r="P814" s="7" t="s">
        <v>792</v>
      </c>
      <c r="Q814" s="7" t="s">
        <v>792</v>
      </c>
    </row>
    <row r="815" spans="1:17" hidden="1" x14ac:dyDescent="0.25">
      <c r="A815" t="s">
        <v>786</v>
      </c>
      <c r="B815">
        <v>1031869</v>
      </c>
      <c r="D815">
        <v>81</v>
      </c>
      <c r="G815">
        <v>98</v>
      </c>
      <c r="H815">
        <v>126</v>
      </c>
      <c r="I815" t="s">
        <v>787</v>
      </c>
      <c r="J815">
        <v>96</v>
      </c>
      <c r="P815" s="7" t="s">
        <v>792</v>
      </c>
      <c r="Q815" s="7" t="s">
        <v>792</v>
      </c>
    </row>
    <row r="816" spans="1:17" x14ac:dyDescent="0.25">
      <c r="A816" t="s">
        <v>788</v>
      </c>
      <c r="B816">
        <v>1032957</v>
      </c>
      <c r="D816">
        <v>71</v>
      </c>
      <c r="G816">
        <v>98</v>
      </c>
      <c r="H816">
        <v>92</v>
      </c>
      <c r="I816" t="s">
        <v>154</v>
      </c>
      <c r="J816">
        <v>99</v>
      </c>
      <c r="K816">
        <v>105</v>
      </c>
      <c r="L816" t="str">
        <f t="shared" ref="L816:L819" si="114">IF(K816:K1814&lt;=79,"sweet",IF(K816:K1814&lt;=120,"normal",IF(K816:K1814&lt;=250,"high",IF(K816:K1814&lt;=1000,"very high"))))</f>
        <v>normal</v>
      </c>
      <c r="P816" s="7" t="s">
        <v>792</v>
      </c>
      <c r="Q816" s="7" t="s">
        <v>792</v>
      </c>
    </row>
    <row r="817" spans="1:17" x14ac:dyDescent="0.25">
      <c r="A817" t="s">
        <v>789</v>
      </c>
      <c r="B817">
        <v>1037343</v>
      </c>
      <c r="D817">
        <v>76</v>
      </c>
      <c r="G817">
        <v>98</v>
      </c>
      <c r="H817">
        <v>86</v>
      </c>
      <c r="I817" t="s">
        <v>979</v>
      </c>
      <c r="J817">
        <v>64</v>
      </c>
      <c r="K817">
        <v>307</v>
      </c>
      <c r="L817" t="str">
        <f t="shared" si="114"/>
        <v>very high</v>
      </c>
      <c r="P817" s="7" t="s">
        <v>790</v>
      </c>
      <c r="Q817" s="7" t="s">
        <v>790</v>
      </c>
    </row>
    <row r="818" spans="1:17" x14ac:dyDescent="0.25">
      <c r="A818" t="s">
        <v>791</v>
      </c>
      <c r="B818">
        <v>1037464</v>
      </c>
      <c r="D818">
        <v>30</v>
      </c>
      <c r="G818">
        <v>98</v>
      </c>
      <c r="H818">
        <v>98</v>
      </c>
      <c r="I818" t="s">
        <v>96</v>
      </c>
      <c r="J818">
        <v>99</v>
      </c>
      <c r="K818">
        <v>121</v>
      </c>
      <c r="L818" t="str">
        <f t="shared" si="114"/>
        <v>high</v>
      </c>
      <c r="P818" s="7" t="s">
        <v>790</v>
      </c>
      <c r="Q818" s="7" t="s">
        <v>790</v>
      </c>
    </row>
    <row r="819" spans="1:17" x14ac:dyDescent="0.25">
      <c r="A819" t="s">
        <v>793</v>
      </c>
      <c r="B819">
        <v>1039646</v>
      </c>
      <c r="D819">
        <v>71</v>
      </c>
      <c r="G819">
        <v>98</v>
      </c>
      <c r="H819">
        <v>100</v>
      </c>
      <c r="I819" t="s">
        <v>194</v>
      </c>
      <c r="J819">
        <v>99</v>
      </c>
      <c r="K819">
        <v>139</v>
      </c>
      <c r="L819" t="str">
        <f t="shared" si="114"/>
        <v>high</v>
      </c>
      <c r="P819" s="7" t="s">
        <v>790</v>
      </c>
      <c r="Q819" s="7" t="s">
        <v>790</v>
      </c>
    </row>
    <row r="820" spans="1:17" hidden="1" x14ac:dyDescent="0.25">
      <c r="A820" t="s">
        <v>794</v>
      </c>
      <c r="B820">
        <v>1040029</v>
      </c>
      <c r="D820">
        <v>30</v>
      </c>
      <c r="G820">
        <v>98</v>
      </c>
      <c r="I820" t="s">
        <v>62</v>
      </c>
      <c r="J820">
        <v>88</v>
      </c>
      <c r="P820" s="7" t="s">
        <v>790</v>
      </c>
      <c r="Q820" s="7" t="s">
        <v>790</v>
      </c>
    </row>
    <row r="821" spans="1:17" hidden="1" x14ac:dyDescent="0.25">
      <c r="A821" t="s">
        <v>795</v>
      </c>
      <c r="B821">
        <v>1037608</v>
      </c>
      <c r="D821">
        <v>70</v>
      </c>
      <c r="G821">
        <v>98</v>
      </c>
      <c r="H821">
        <v>80</v>
      </c>
      <c r="I821" t="s">
        <v>796</v>
      </c>
      <c r="J821">
        <v>91</v>
      </c>
      <c r="P821" s="7" t="s">
        <v>790</v>
      </c>
      <c r="Q821" s="7" t="s">
        <v>797</v>
      </c>
    </row>
    <row r="822" spans="1:17" hidden="1" x14ac:dyDescent="0.25">
      <c r="A822" t="s">
        <v>207</v>
      </c>
      <c r="B822">
        <v>1042538</v>
      </c>
      <c r="D822">
        <v>71</v>
      </c>
      <c r="G822">
        <v>98</v>
      </c>
      <c r="H822">
        <v>140</v>
      </c>
      <c r="I822" t="s">
        <v>6</v>
      </c>
      <c r="J822">
        <v>80</v>
      </c>
      <c r="P822" s="7" t="s">
        <v>797</v>
      </c>
      <c r="Q822" s="7" t="s">
        <v>797</v>
      </c>
    </row>
    <row r="823" spans="1:17" x14ac:dyDescent="0.25">
      <c r="A823" t="s">
        <v>241</v>
      </c>
      <c r="B823">
        <v>1040350</v>
      </c>
      <c r="D823">
        <v>71</v>
      </c>
      <c r="G823">
        <v>98</v>
      </c>
      <c r="H823">
        <v>73</v>
      </c>
      <c r="I823" t="s">
        <v>798</v>
      </c>
      <c r="J823">
        <v>96</v>
      </c>
      <c r="K823">
        <v>189</v>
      </c>
      <c r="L823" t="str">
        <f>IF(K823:K1821&lt;=79,"sweet",IF(K823:K1821&lt;=120,"normal",IF(K823:K1821&lt;=250,"high",IF(K823:K1821&lt;=1000,"very high"))))</f>
        <v>high</v>
      </c>
      <c r="P823" s="7" t="s">
        <v>797</v>
      </c>
      <c r="Q823" s="7" t="s">
        <v>797</v>
      </c>
    </row>
    <row r="824" spans="1:17" hidden="1" x14ac:dyDescent="0.25">
      <c r="A824" t="s">
        <v>385</v>
      </c>
      <c r="B824">
        <v>104167</v>
      </c>
      <c r="D824">
        <v>45</v>
      </c>
      <c r="G824">
        <v>98</v>
      </c>
      <c r="H824">
        <v>110</v>
      </c>
      <c r="I824" t="s">
        <v>799</v>
      </c>
      <c r="J824">
        <v>78</v>
      </c>
      <c r="O824" t="s">
        <v>977</v>
      </c>
      <c r="P824" s="7" t="s">
        <v>797</v>
      </c>
      <c r="Q824" s="7" t="s">
        <v>797</v>
      </c>
    </row>
    <row r="825" spans="1:17" x14ac:dyDescent="0.25">
      <c r="A825" t="s">
        <v>800</v>
      </c>
      <c r="B825">
        <v>1043525</v>
      </c>
      <c r="D825">
        <v>50</v>
      </c>
      <c r="G825">
        <v>98</v>
      </c>
      <c r="H825">
        <v>84</v>
      </c>
      <c r="I825" t="s">
        <v>79</v>
      </c>
      <c r="J825">
        <v>99</v>
      </c>
      <c r="K825">
        <v>160</v>
      </c>
      <c r="L825" t="str">
        <f t="shared" ref="L825:L827" si="115">IF(K825:K1823&lt;=79,"sweet",IF(K825:K1823&lt;=120,"normal",IF(K825:K1823&lt;=250,"high",IF(K825:K1823&lt;=1000,"very high"))))</f>
        <v>high</v>
      </c>
      <c r="P825" s="7" t="s">
        <v>797</v>
      </c>
      <c r="Q825" s="7" t="s">
        <v>801</v>
      </c>
    </row>
    <row r="826" spans="1:17" x14ac:dyDescent="0.25">
      <c r="A826" t="s">
        <v>802</v>
      </c>
      <c r="B826">
        <v>1044309</v>
      </c>
      <c r="D826">
        <v>84</v>
      </c>
      <c r="G826">
        <v>98</v>
      </c>
      <c r="H826">
        <v>68</v>
      </c>
      <c r="I826" t="s">
        <v>53</v>
      </c>
      <c r="J826">
        <v>80</v>
      </c>
      <c r="K826">
        <v>142</v>
      </c>
      <c r="L826" t="str">
        <f t="shared" si="115"/>
        <v>high</v>
      </c>
      <c r="O826" t="s">
        <v>967</v>
      </c>
      <c r="P826" s="7" t="s">
        <v>801</v>
      </c>
      <c r="Q826" s="7" t="s">
        <v>801</v>
      </c>
    </row>
    <row r="827" spans="1:17" x14ac:dyDescent="0.25">
      <c r="A827" t="s">
        <v>803</v>
      </c>
      <c r="B827">
        <v>1044207</v>
      </c>
      <c r="D827">
        <v>27</v>
      </c>
      <c r="G827">
        <v>98</v>
      </c>
      <c r="H827">
        <v>97</v>
      </c>
      <c r="I827" t="s">
        <v>804</v>
      </c>
      <c r="J827">
        <v>80</v>
      </c>
      <c r="K827">
        <v>309</v>
      </c>
      <c r="L827" t="str">
        <f t="shared" si="115"/>
        <v>very high</v>
      </c>
      <c r="P827" s="7" t="s">
        <v>801</v>
      </c>
      <c r="Q827" s="7" t="s">
        <v>801</v>
      </c>
    </row>
    <row r="828" spans="1:17" hidden="1" x14ac:dyDescent="0.25">
      <c r="A828" t="s">
        <v>374</v>
      </c>
      <c r="B828">
        <v>1044803</v>
      </c>
      <c r="D828">
        <v>40</v>
      </c>
      <c r="G828">
        <v>98</v>
      </c>
      <c r="H828">
        <v>48</v>
      </c>
      <c r="I828" t="s">
        <v>62</v>
      </c>
      <c r="J828">
        <v>93</v>
      </c>
      <c r="K828">
        <v>66</v>
      </c>
      <c r="N828" t="s">
        <v>976</v>
      </c>
      <c r="O828" t="s">
        <v>967</v>
      </c>
      <c r="P828" s="7" t="s">
        <v>801</v>
      </c>
      <c r="Q828" s="7" t="s">
        <v>801</v>
      </c>
    </row>
    <row r="829" spans="1:17" hidden="1" x14ac:dyDescent="0.25">
      <c r="A829" t="s">
        <v>805</v>
      </c>
      <c r="B829">
        <v>1044420</v>
      </c>
      <c r="D829">
        <v>86</v>
      </c>
      <c r="G829">
        <v>98</v>
      </c>
      <c r="H829">
        <v>48</v>
      </c>
      <c r="I829" t="s">
        <v>96</v>
      </c>
      <c r="J829">
        <v>95</v>
      </c>
      <c r="K829">
        <v>65</v>
      </c>
      <c r="N829" t="s">
        <v>976</v>
      </c>
      <c r="P829" s="7" t="s">
        <v>801</v>
      </c>
      <c r="Q829" s="7" t="s">
        <v>801</v>
      </c>
    </row>
    <row r="830" spans="1:17" x14ac:dyDescent="0.25">
      <c r="A830" t="s">
        <v>806</v>
      </c>
      <c r="B830">
        <v>1044866</v>
      </c>
      <c r="D830">
        <v>60</v>
      </c>
      <c r="G830">
        <v>98</v>
      </c>
      <c r="H830">
        <v>110</v>
      </c>
      <c r="I830" t="s">
        <v>92</v>
      </c>
      <c r="J830">
        <v>91</v>
      </c>
      <c r="K830">
        <v>125</v>
      </c>
      <c r="L830" t="str">
        <f t="shared" ref="L830:L833" si="116">IF(K830:K1828&lt;=79,"sweet",IF(K830:K1828&lt;=120,"normal",IF(K830:K1828&lt;=250,"high",IF(K830:K1828&lt;=1000,"very high"))))</f>
        <v>high</v>
      </c>
      <c r="O830" t="s">
        <v>967</v>
      </c>
      <c r="P830" s="7" t="s">
        <v>801</v>
      </c>
      <c r="Q830" s="7" t="s">
        <v>807</v>
      </c>
    </row>
    <row r="831" spans="1:17" x14ac:dyDescent="0.25">
      <c r="A831" t="s">
        <v>808</v>
      </c>
      <c r="B831">
        <v>1045638</v>
      </c>
      <c r="D831">
        <v>24</v>
      </c>
      <c r="G831">
        <v>98</v>
      </c>
      <c r="H831">
        <v>45</v>
      </c>
      <c r="I831" t="s">
        <v>833</v>
      </c>
      <c r="J831">
        <v>99</v>
      </c>
      <c r="K831">
        <v>135</v>
      </c>
      <c r="L831" t="str">
        <f t="shared" si="116"/>
        <v>high</v>
      </c>
      <c r="P831" s="7" t="s">
        <v>807</v>
      </c>
      <c r="Q831" s="7" t="s">
        <v>807</v>
      </c>
    </row>
    <row r="832" spans="1:17" x14ac:dyDescent="0.25">
      <c r="A832" t="s">
        <v>488</v>
      </c>
      <c r="B832">
        <v>104726</v>
      </c>
      <c r="D832">
        <v>53</v>
      </c>
      <c r="G832">
        <v>98</v>
      </c>
      <c r="H832">
        <v>120</v>
      </c>
      <c r="I832" t="s">
        <v>120</v>
      </c>
      <c r="J832">
        <v>99</v>
      </c>
      <c r="K832">
        <v>273</v>
      </c>
      <c r="L832" t="str">
        <f t="shared" si="116"/>
        <v>very high</v>
      </c>
      <c r="P832" s="7" t="s">
        <v>807</v>
      </c>
      <c r="Q832" s="7" t="s">
        <v>807</v>
      </c>
    </row>
    <row r="833" spans="1:17" x14ac:dyDescent="0.25">
      <c r="A833" t="s">
        <v>423</v>
      </c>
      <c r="B833">
        <v>1044897</v>
      </c>
      <c r="D833">
        <v>50</v>
      </c>
      <c r="G833">
        <v>98</v>
      </c>
      <c r="H833">
        <v>96</v>
      </c>
      <c r="I833" t="s">
        <v>809</v>
      </c>
      <c r="J833">
        <v>63</v>
      </c>
      <c r="K833">
        <v>156</v>
      </c>
      <c r="L833" t="str">
        <f t="shared" si="116"/>
        <v>high</v>
      </c>
      <c r="O833" t="s">
        <v>968</v>
      </c>
      <c r="P833" s="7" t="s">
        <v>801</v>
      </c>
      <c r="Q833" s="7" t="s">
        <v>801</v>
      </c>
    </row>
    <row r="834" spans="1:17" hidden="1" x14ac:dyDescent="0.25">
      <c r="A834" t="s">
        <v>237</v>
      </c>
      <c r="B834">
        <v>1049349</v>
      </c>
      <c r="D834">
        <v>49</v>
      </c>
      <c r="G834">
        <v>98</v>
      </c>
      <c r="P834" s="7" t="s">
        <v>807</v>
      </c>
      <c r="Q834" s="7" t="s">
        <v>807</v>
      </c>
    </row>
    <row r="835" spans="1:17" x14ac:dyDescent="0.25">
      <c r="A835" t="s">
        <v>810</v>
      </c>
      <c r="B835">
        <v>1048808</v>
      </c>
      <c r="D835">
        <v>65</v>
      </c>
      <c r="G835">
        <v>98</v>
      </c>
      <c r="H835">
        <v>84</v>
      </c>
      <c r="I835" t="s">
        <v>96</v>
      </c>
      <c r="J835">
        <v>99</v>
      </c>
      <c r="K835">
        <v>132</v>
      </c>
      <c r="L835" t="str">
        <f t="shared" ref="L835:L839" si="117">IF(K835:K1833&lt;=79,"sweet",IF(K835:K1833&lt;=120,"normal",IF(K835:K1833&lt;=250,"high",IF(K835:K1833&lt;=1000,"very high"))))</f>
        <v>high</v>
      </c>
      <c r="O835" t="s">
        <v>967</v>
      </c>
      <c r="P835" s="7" t="s">
        <v>807</v>
      </c>
      <c r="Q835" s="7" t="s">
        <v>807</v>
      </c>
    </row>
    <row r="836" spans="1:17" x14ac:dyDescent="0.25">
      <c r="A836" t="s">
        <v>756</v>
      </c>
      <c r="B836">
        <v>1045016</v>
      </c>
      <c r="D836">
        <v>35</v>
      </c>
      <c r="G836">
        <v>98</v>
      </c>
      <c r="H836">
        <v>129</v>
      </c>
      <c r="I836" t="s">
        <v>811</v>
      </c>
      <c r="J836">
        <v>99</v>
      </c>
      <c r="K836">
        <v>129</v>
      </c>
      <c r="L836" t="str">
        <f t="shared" si="117"/>
        <v>high</v>
      </c>
      <c r="O836" t="s">
        <v>967</v>
      </c>
      <c r="P836" s="7" t="s">
        <v>807</v>
      </c>
      <c r="Q836" s="7" t="s">
        <v>807</v>
      </c>
    </row>
    <row r="837" spans="1:17" x14ac:dyDescent="0.25">
      <c r="A837" t="s">
        <v>812</v>
      </c>
      <c r="B837">
        <v>1036946</v>
      </c>
      <c r="D837">
        <v>76</v>
      </c>
      <c r="G837">
        <v>98</v>
      </c>
      <c r="H837">
        <v>132</v>
      </c>
      <c r="I837" t="s">
        <v>813</v>
      </c>
      <c r="J837">
        <v>89</v>
      </c>
      <c r="K837">
        <v>81</v>
      </c>
      <c r="L837" t="str">
        <f t="shared" si="117"/>
        <v>normal</v>
      </c>
      <c r="P837" s="7" t="s">
        <v>807</v>
      </c>
      <c r="Q837" s="7" t="s">
        <v>814</v>
      </c>
    </row>
    <row r="838" spans="1:17" x14ac:dyDescent="0.25">
      <c r="A838" t="s">
        <v>815</v>
      </c>
      <c r="B838">
        <v>1076155</v>
      </c>
      <c r="D838">
        <v>72</v>
      </c>
      <c r="G838">
        <v>98</v>
      </c>
      <c r="H838">
        <v>94</v>
      </c>
      <c r="I838" t="s">
        <v>53</v>
      </c>
      <c r="J838">
        <v>89</v>
      </c>
      <c r="K838">
        <v>141</v>
      </c>
      <c r="L838" t="str">
        <f t="shared" si="117"/>
        <v>high</v>
      </c>
      <c r="O838" t="s">
        <v>967</v>
      </c>
      <c r="P838" s="7" t="s">
        <v>816</v>
      </c>
      <c r="Q838" s="7" t="s">
        <v>816</v>
      </c>
    </row>
    <row r="839" spans="1:17" x14ac:dyDescent="0.25">
      <c r="A839" t="s">
        <v>817</v>
      </c>
      <c r="B839">
        <v>1050529</v>
      </c>
      <c r="D839">
        <v>72</v>
      </c>
      <c r="G839">
        <v>98</v>
      </c>
      <c r="H839">
        <v>120</v>
      </c>
      <c r="I839" t="s">
        <v>77</v>
      </c>
      <c r="J839">
        <v>65</v>
      </c>
      <c r="K839">
        <v>356</v>
      </c>
      <c r="L839" t="str">
        <f t="shared" si="117"/>
        <v>very high</v>
      </c>
      <c r="P839" s="7" t="s">
        <v>814</v>
      </c>
      <c r="Q839" s="7" t="s">
        <v>814</v>
      </c>
    </row>
    <row r="840" spans="1:17" hidden="1" x14ac:dyDescent="0.25">
      <c r="A840" t="s">
        <v>818</v>
      </c>
      <c r="B840">
        <v>1051692</v>
      </c>
      <c r="D840">
        <v>79</v>
      </c>
      <c r="G840">
        <v>98</v>
      </c>
      <c r="H840">
        <v>55</v>
      </c>
      <c r="J840">
        <v>60</v>
      </c>
      <c r="P840" s="7" t="s">
        <v>814</v>
      </c>
      <c r="Q840" s="7" t="s">
        <v>814</v>
      </c>
    </row>
    <row r="841" spans="1:17" x14ac:dyDescent="0.25">
      <c r="A841" t="s">
        <v>819</v>
      </c>
      <c r="B841">
        <v>1052618</v>
      </c>
      <c r="D841">
        <v>71</v>
      </c>
      <c r="G841">
        <v>98</v>
      </c>
      <c r="H841">
        <v>68</v>
      </c>
      <c r="I841" t="s">
        <v>53</v>
      </c>
      <c r="J841">
        <v>94</v>
      </c>
      <c r="K841">
        <v>159</v>
      </c>
      <c r="L841" t="str">
        <f t="shared" ref="L841:L844" si="118">IF(K841:K1839&lt;=79,"sweet",IF(K841:K1839&lt;=120,"normal",IF(K841:K1839&lt;=250,"high",IF(K841:K1839&lt;=1000,"very high"))))</f>
        <v>high</v>
      </c>
      <c r="P841" s="7" t="s">
        <v>814</v>
      </c>
      <c r="Q841" s="7" t="s">
        <v>814</v>
      </c>
    </row>
    <row r="842" spans="1:17" x14ac:dyDescent="0.25">
      <c r="A842" t="s">
        <v>795</v>
      </c>
      <c r="B842">
        <v>1053665</v>
      </c>
      <c r="D842">
        <v>90</v>
      </c>
      <c r="G842">
        <v>98</v>
      </c>
      <c r="H842">
        <v>65</v>
      </c>
      <c r="I842" t="s">
        <v>154</v>
      </c>
      <c r="J842">
        <v>99</v>
      </c>
      <c r="K842">
        <v>166</v>
      </c>
      <c r="L842" t="str">
        <f t="shared" si="118"/>
        <v>high</v>
      </c>
      <c r="P842" s="7" t="s">
        <v>814</v>
      </c>
      <c r="Q842" s="7" t="s">
        <v>814</v>
      </c>
    </row>
    <row r="843" spans="1:17" x14ac:dyDescent="0.25">
      <c r="A843" t="s">
        <v>151</v>
      </c>
      <c r="B843">
        <v>1053144</v>
      </c>
      <c r="D843">
        <v>65</v>
      </c>
      <c r="G843">
        <v>98</v>
      </c>
      <c r="H843">
        <v>102</v>
      </c>
      <c r="I843" t="s">
        <v>288</v>
      </c>
      <c r="J843">
        <v>75</v>
      </c>
      <c r="K843">
        <v>104</v>
      </c>
      <c r="L843" t="str">
        <f t="shared" si="118"/>
        <v>normal</v>
      </c>
      <c r="P843" s="7" t="s">
        <v>814</v>
      </c>
      <c r="Q843" s="7" t="s">
        <v>814</v>
      </c>
    </row>
    <row r="844" spans="1:17" x14ac:dyDescent="0.25">
      <c r="A844" t="s">
        <v>485</v>
      </c>
      <c r="B844">
        <v>105208</v>
      </c>
      <c r="D844">
        <v>60</v>
      </c>
      <c r="G844">
        <v>98</v>
      </c>
      <c r="H844">
        <v>125</v>
      </c>
      <c r="I844" t="s">
        <v>811</v>
      </c>
      <c r="J844">
        <v>88</v>
      </c>
      <c r="K844">
        <v>229</v>
      </c>
      <c r="L844" t="str">
        <f t="shared" si="118"/>
        <v>high</v>
      </c>
      <c r="P844" s="7" t="s">
        <v>814</v>
      </c>
      <c r="Q844" s="7" t="s">
        <v>814</v>
      </c>
    </row>
    <row r="845" spans="1:17" hidden="1" x14ac:dyDescent="0.25">
      <c r="A845" t="s">
        <v>820</v>
      </c>
      <c r="B845">
        <v>1054520</v>
      </c>
      <c r="D845">
        <v>63</v>
      </c>
      <c r="G845">
        <v>98</v>
      </c>
      <c r="J845">
        <v>80</v>
      </c>
      <c r="P845" s="7" t="s">
        <v>821</v>
      </c>
      <c r="Q845" s="7" t="s">
        <v>821</v>
      </c>
    </row>
    <row r="846" spans="1:17" x14ac:dyDescent="0.25">
      <c r="A846" t="s">
        <v>822</v>
      </c>
      <c r="B846">
        <v>1054522</v>
      </c>
      <c r="D846">
        <v>81</v>
      </c>
      <c r="G846">
        <v>98</v>
      </c>
      <c r="H846">
        <v>94</v>
      </c>
      <c r="I846" t="s">
        <v>120</v>
      </c>
      <c r="J846">
        <v>56</v>
      </c>
      <c r="K846">
        <v>154</v>
      </c>
      <c r="L846" t="str">
        <f>IF(K846:K1844&lt;=79,"sweet",IF(K846:K1844&lt;=120,"normal",IF(K846:K1844&lt;=250,"high",IF(K846:K1844&lt;=1000,"very high"))))</f>
        <v>high</v>
      </c>
      <c r="P846" s="7" t="s">
        <v>821</v>
      </c>
      <c r="Q846" s="7" t="s">
        <v>821</v>
      </c>
    </row>
    <row r="847" spans="1:17" hidden="1" x14ac:dyDescent="0.25">
      <c r="A847" t="s">
        <v>822</v>
      </c>
      <c r="B847">
        <v>1055162</v>
      </c>
      <c r="D847">
        <v>65</v>
      </c>
      <c r="G847">
        <v>98</v>
      </c>
      <c r="H847">
        <v>108</v>
      </c>
      <c r="I847" t="s">
        <v>43</v>
      </c>
      <c r="J847">
        <v>92</v>
      </c>
      <c r="K847">
        <v>58</v>
      </c>
      <c r="P847" s="7" t="s">
        <v>814</v>
      </c>
      <c r="Q847" s="7" t="s">
        <v>814</v>
      </c>
    </row>
    <row r="848" spans="1:17" hidden="1" x14ac:dyDescent="0.25">
      <c r="A848" t="s">
        <v>823</v>
      </c>
      <c r="B848">
        <v>1054864</v>
      </c>
      <c r="D848">
        <v>71</v>
      </c>
      <c r="G848">
        <v>98</v>
      </c>
      <c r="H848">
        <v>80</v>
      </c>
      <c r="I848" t="s">
        <v>824</v>
      </c>
      <c r="J848">
        <v>96</v>
      </c>
      <c r="P848" s="7" t="s">
        <v>821</v>
      </c>
      <c r="Q848" s="7" t="s">
        <v>821</v>
      </c>
    </row>
    <row r="849" spans="1:17" hidden="1" x14ac:dyDescent="0.25">
      <c r="A849" t="s">
        <v>825</v>
      </c>
      <c r="B849">
        <v>1057171</v>
      </c>
      <c r="D849">
        <v>60</v>
      </c>
      <c r="G849">
        <v>98</v>
      </c>
      <c r="I849" t="s">
        <v>43</v>
      </c>
      <c r="J849">
        <v>90</v>
      </c>
      <c r="P849" s="7" t="s">
        <v>821</v>
      </c>
      <c r="Q849" s="7" t="s">
        <v>821</v>
      </c>
    </row>
    <row r="850" spans="1:17" hidden="1" x14ac:dyDescent="0.25">
      <c r="A850" t="s">
        <v>826</v>
      </c>
      <c r="B850">
        <v>1057267</v>
      </c>
      <c r="D850">
        <v>38</v>
      </c>
      <c r="G850">
        <v>98</v>
      </c>
      <c r="H850">
        <v>62</v>
      </c>
      <c r="I850" t="s">
        <v>827</v>
      </c>
      <c r="P850" s="7" t="s">
        <v>821</v>
      </c>
      <c r="Q850" s="7" t="s">
        <v>821</v>
      </c>
    </row>
    <row r="851" spans="1:17" hidden="1" x14ac:dyDescent="0.25">
      <c r="A851" t="s">
        <v>828</v>
      </c>
      <c r="B851">
        <v>1056430</v>
      </c>
      <c r="D851">
        <v>55</v>
      </c>
      <c r="G851">
        <v>98</v>
      </c>
      <c r="H851">
        <v>62</v>
      </c>
      <c r="I851" t="s">
        <v>419</v>
      </c>
      <c r="J851">
        <v>75</v>
      </c>
      <c r="K851">
        <v>75</v>
      </c>
      <c r="P851" s="7" t="s">
        <v>821</v>
      </c>
      <c r="Q851" s="7" t="s">
        <v>821</v>
      </c>
    </row>
    <row r="852" spans="1:17" hidden="1" x14ac:dyDescent="0.25">
      <c r="A852" t="s">
        <v>361</v>
      </c>
      <c r="B852">
        <v>1060151</v>
      </c>
      <c r="D852">
        <v>50</v>
      </c>
      <c r="G852">
        <v>98</v>
      </c>
      <c r="I852" t="s">
        <v>829</v>
      </c>
      <c r="J852">
        <v>90</v>
      </c>
      <c r="K852">
        <v>34</v>
      </c>
      <c r="M852" t="s">
        <v>969</v>
      </c>
      <c r="N852" t="s">
        <v>975</v>
      </c>
      <c r="P852" s="7" t="s">
        <v>830</v>
      </c>
      <c r="Q852" s="7" t="s">
        <v>830</v>
      </c>
    </row>
    <row r="853" spans="1:17" hidden="1" x14ac:dyDescent="0.25">
      <c r="A853" t="s">
        <v>831</v>
      </c>
      <c r="B853">
        <v>1061950</v>
      </c>
      <c r="D853">
        <v>76</v>
      </c>
      <c r="G853">
        <v>98</v>
      </c>
      <c r="H853">
        <v>84</v>
      </c>
      <c r="I853" t="s">
        <v>94</v>
      </c>
      <c r="P853" s="7" t="s">
        <v>830</v>
      </c>
      <c r="Q853" s="7" t="s">
        <v>830</v>
      </c>
    </row>
    <row r="854" spans="1:17" x14ac:dyDescent="0.25">
      <c r="A854" t="s">
        <v>832</v>
      </c>
      <c r="B854">
        <v>1037789</v>
      </c>
      <c r="D854">
        <v>76</v>
      </c>
      <c r="G854">
        <v>98</v>
      </c>
      <c r="H854">
        <v>122</v>
      </c>
      <c r="I854" t="s">
        <v>833</v>
      </c>
      <c r="J854">
        <v>91</v>
      </c>
      <c r="K854">
        <v>100</v>
      </c>
      <c r="L854" t="str">
        <f t="shared" ref="L854:L855" si="119">IF(K854:K1852&lt;=79,"sweet",IF(K854:K1852&lt;=120,"normal",IF(K854:K1852&lt;=250,"high",IF(K854:K1852&lt;=1000,"very high"))))</f>
        <v>normal</v>
      </c>
      <c r="P854" s="7" t="s">
        <v>790</v>
      </c>
      <c r="Q854" s="7" t="s">
        <v>834</v>
      </c>
    </row>
    <row r="855" spans="1:17" x14ac:dyDescent="0.25">
      <c r="A855" t="s">
        <v>300</v>
      </c>
      <c r="B855">
        <v>1065854</v>
      </c>
      <c r="D855">
        <v>55</v>
      </c>
      <c r="G855">
        <v>98</v>
      </c>
      <c r="H855">
        <v>90</v>
      </c>
      <c r="I855" t="s">
        <v>835</v>
      </c>
      <c r="J855">
        <v>92</v>
      </c>
      <c r="K855">
        <v>124</v>
      </c>
      <c r="L855" t="str">
        <f t="shared" si="119"/>
        <v>high</v>
      </c>
      <c r="P855" s="7" t="s">
        <v>834</v>
      </c>
      <c r="Q855" s="7" t="s">
        <v>834</v>
      </c>
    </row>
    <row r="856" spans="1:17" hidden="1" x14ac:dyDescent="0.25">
      <c r="A856" t="s">
        <v>836</v>
      </c>
      <c r="B856">
        <v>1066960</v>
      </c>
      <c r="D856">
        <v>71</v>
      </c>
      <c r="G856">
        <v>98</v>
      </c>
      <c r="H856">
        <v>105</v>
      </c>
      <c r="I856" t="s">
        <v>837</v>
      </c>
      <c r="J856">
        <v>93</v>
      </c>
      <c r="P856" s="7" t="s">
        <v>838</v>
      </c>
      <c r="Q856" s="7" t="s">
        <v>838</v>
      </c>
    </row>
    <row r="857" spans="1:17" hidden="1" x14ac:dyDescent="0.25">
      <c r="A857" t="s">
        <v>839</v>
      </c>
      <c r="B857">
        <v>1069327</v>
      </c>
      <c r="D857">
        <v>70</v>
      </c>
      <c r="G857">
        <v>98</v>
      </c>
      <c r="H857">
        <v>110</v>
      </c>
      <c r="I857" t="s">
        <v>262</v>
      </c>
      <c r="J857">
        <v>70</v>
      </c>
      <c r="P857" s="7" t="s">
        <v>838</v>
      </c>
      <c r="Q857" s="7" t="s">
        <v>838</v>
      </c>
    </row>
    <row r="858" spans="1:17" hidden="1" x14ac:dyDescent="0.25">
      <c r="A858" t="s">
        <v>197</v>
      </c>
      <c r="B858">
        <v>1069096</v>
      </c>
      <c r="D858">
        <v>60</v>
      </c>
      <c r="G858">
        <v>98</v>
      </c>
      <c r="I858" t="s">
        <v>62</v>
      </c>
      <c r="P858" s="7" t="s">
        <v>838</v>
      </c>
      <c r="Q858" s="7" t="s">
        <v>838</v>
      </c>
    </row>
    <row r="859" spans="1:17" x14ac:dyDescent="0.25">
      <c r="A859" t="s">
        <v>840</v>
      </c>
      <c r="B859">
        <v>1071118</v>
      </c>
      <c r="D859">
        <v>18</v>
      </c>
      <c r="G859">
        <v>98</v>
      </c>
      <c r="H859">
        <v>89</v>
      </c>
      <c r="I859" t="s">
        <v>79</v>
      </c>
      <c r="J859">
        <v>84</v>
      </c>
      <c r="K859">
        <v>148</v>
      </c>
      <c r="L859" t="str">
        <f t="shared" ref="L859:L860" si="120">IF(K859:K1857&lt;=79,"sweet",IF(K859:K1857&lt;=120,"normal",IF(K859:K1857&lt;=250,"high",IF(K859:K1857&lt;=1000,"very high"))))</f>
        <v>high</v>
      </c>
      <c r="P859" s="7" t="s">
        <v>841</v>
      </c>
      <c r="Q859" s="7" t="s">
        <v>841</v>
      </c>
    </row>
    <row r="860" spans="1:17" x14ac:dyDescent="0.25">
      <c r="A860" t="s">
        <v>842</v>
      </c>
      <c r="B860">
        <v>1070973</v>
      </c>
      <c r="D860">
        <v>31</v>
      </c>
      <c r="G860">
        <v>98</v>
      </c>
      <c r="H860">
        <v>90</v>
      </c>
      <c r="I860" t="s">
        <v>843</v>
      </c>
      <c r="J860">
        <v>94</v>
      </c>
      <c r="K860">
        <v>149</v>
      </c>
      <c r="L860" t="str">
        <f t="shared" si="120"/>
        <v>high</v>
      </c>
      <c r="P860" s="7" t="s">
        <v>841</v>
      </c>
      <c r="Q860" s="7" t="s">
        <v>841</v>
      </c>
    </row>
    <row r="861" spans="1:17" hidden="1" x14ac:dyDescent="0.25">
      <c r="A861" t="s">
        <v>844</v>
      </c>
      <c r="B861">
        <v>1071745</v>
      </c>
      <c r="D861">
        <v>55</v>
      </c>
      <c r="G861">
        <v>98</v>
      </c>
      <c r="H861">
        <v>128</v>
      </c>
      <c r="I861" t="s">
        <v>845</v>
      </c>
      <c r="J861">
        <v>78</v>
      </c>
      <c r="P861" s="7" t="s">
        <v>841</v>
      </c>
      <c r="Q861" s="7" t="s">
        <v>816</v>
      </c>
    </row>
    <row r="862" spans="1:17" hidden="1" x14ac:dyDescent="0.25">
      <c r="A862" t="s">
        <v>846</v>
      </c>
      <c r="B862">
        <v>1072425</v>
      </c>
      <c r="D862">
        <v>45</v>
      </c>
      <c r="G862">
        <v>98</v>
      </c>
      <c r="H862">
        <v>72</v>
      </c>
      <c r="I862" t="s">
        <v>6</v>
      </c>
      <c r="P862" s="7" t="s">
        <v>841</v>
      </c>
      <c r="Q862" s="7" t="s">
        <v>841</v>
      </c>
    </row>
    <row r="863" spans="1:17" x14ac:dyDescent="0.25">
      <c r="A863" t="s">
        <v>847</v>
      </c>
      <c r="B863">
        <v>1067521</v>
      </c>
      <c r="D863">
        <v>65</v>
      </c>
      <c r="G863">
        <v>98</v>
      </c>
      <c r="H863">
        <v>80</v>
      </c>
      <c r="I863" t="s">
        <v>848</v>
      </c>
      <c r="J863">
        <v>99</v>
      </c>
      <c r="K863">
        <v>87</v>
      </c>
      <c r="L863" t="str">
        <f t="shared" ref="L863:L864" si="121">IF(K863:K1861&lt;=79,"sweet",IF(K863:K1861&lt;=120,"normal",IF(K863:K1861&lt;=250,"high",IF(K863:K1861&lt;=1000,"very high"))))</f>
        <v>normal</v>
      </c>
      <c r="P863" s="7" t="s">
        <v>838</v>
      </c>
      <c r="Q863" s="7" t="s">
        <v>838</v>
      </c>
    </row>
    <row r="864" spans="1:17" x14ac:dyDescent="0.25">
      <c r="A864" t="s">
        <v>849</v>
      </c>
      <c r="B864">
        <v>1055434</v>
      </c>
      <c r="D864">
        <v>42</v>
      </c>
      <c r="G864">
        <v>98</v>
      </c>
      <c r="H864">
        <v>112</v>
      </c>
      <c r="I864" t="s">
        <v>850</v>
      </c>
      <c r="J864">
        <v>97</v>
      </c>
      <c r="K864">
        <v>197</v>
      </c>
      <c r="L864" t="str">
        <f t="shared" si="121"/>
        <v>high</v>
      </c>
      <c r="P864" s="7" t="s">
        <v>830</v>
      </c>
      <c r="Q864" s="7" t="s">
        <v>816</v>
      </c>
    </row>
    <row r="865" spans="1:17" hidden="1" x14ac:dyDescent="0.25">
      <c r="A865" t="s">
        <v>851</v>
      </c>
      <c r="B865">
        <v>1054068</v>
      </c>
      <c r="D865">
        <v>35</v>
      </c>
      <c r="G865">
        <v>98</v>
      </c>
      <c r="J865">
        <v>48</v>
      </c>
      <c r="P865" s="7" t="s">
        <v>814</v>
      </c>
      <c r="Q865" s="7" t="s">
        <v>814</v>
      </c>
    </row>
    <row r="866" spans="1:17" x14ac:dyDescent="0.25">
      <c r="A866" t="s">
        <v>852</v>
      </c>
      <c r="B866">
        <v>1043723</v>
      </c>
      <c r="D866">
        <v>20</v>
      </c>
      <c r="G866">
        <v>98</v>
      </c>
      <c r="H866">
        <v>88</v>
      </c>
      <c r="I866" t="s">
        <v>262</v>
      </c>
      <c r="J866">
        <v>91</v>
      </c>
      <c r="K866">
        <v>114</v>
      </c>
      <c r="L866" t="str">
        <f>IF(K866:K1864&lt;=79,"sweet",IF(K866:K1864&lt;=120,"normal",IF(K866:K1864&lt;=250,"high",IF(K866:K1864&lt;=1000,"very high"))))</f>
        <v>normal</v>
      </c>
      <c r="P866" s="7" t="s">
        <v>801</v>
      </c>
      <c r="Q866" s="7" t="s">
        <v>838</v>
      </c>
    </row>
    <row r="867" spans="1:17" hidden="1" x14ac:dyDescent="0.25">
      <c r="A867" t="s">
        <v>853</v>
      </c>
      <c r="B867">
        <v>1057475</v>
      </c>
      <c r="D867">
        <v>81</v>
      </c>
      <c r="G867">
        <v>98</v>
      </c>
      <c r="I867" t="s">
        <v>74</v>
      </c>
      <c r="J867">
        <v>75</v>
      </c>
      <c r="N867" t="s">
        <v>976</v>
      </c>
      <c r="P867" s="7" t="s">
        <v>821</v>
      </c>
      <c r="Q867" s="7" t="s">
        <v>821</v>
      </c>
    </row>
    <row r="868" spans="1:17" hidden="1" x14ac:dyDescent="0.25">
      <c r="A868" t="s">
        <v>854</v>
      </c>
      <c r="B868">
        <v>1049563</v>
      </c>
      <c r="D868">
        <v>71</v>
      </c>
      <c r="G868">
        <v>98</v>
      </c>
      <c r="H868">
        <v>110</v>
      </c>
      <c r="I868" t="s">
        <v>161</v>
      </c>
      <c r="P868" s="7" t="s">
        <v>807</v>
      </c>
      <c r="Q868" s="7" t="s">
        <v>814</v>
      </c>
    </row>
    <row r="869" spans="1:17" hidden="1" x14ac:dyDescent="0.25">
      <c r="A869" t="s">
        <v>855</v>
      </c>
      <c r="B869">
        <v>1058392</v>
      </c>
      <c r="D869">
        <v>22</v>
      </c>
      <c r="G869">
        <v>98</v>
      </c>
      <c r="H869">
        <v>100</v>
      </c>
      <c r="I869" t="s">
        <v>74</v>
      </c>
      <c r="P869" s="7" t="s">
        <v>821</v>
      </c>
      <c r="Q869" s="7" t="s">
        <v>830</v>
      </c>
    </row>
    <row r="870" spans="1:17" x14ac:dyDescent="0.25">
      <c r="A870" t="s">
        <v>856</v>
      </c>
      <c r="B870">
        <v>996230</v>
      </c>
      <c r="D870">
        <v>50</v>
      </c>
      <c r="G870">
        <v>98</v>
      </c>
      <c r="H870">
        <v>96</v>
      </c>
      <c r="I870" t="s">
        <v>53</v>
      </c>
      <c r="J870">
        <v>99</v>
      </c>
      <c r="K870">
        <v>220</v>
      </c>
      <c r="L870" t="str">
        <f t="shared" ref="L870:L875" si="122">IF(K870:K1868&lt;=79,"sweet",IF(K870:K1868&lt;=120,"normal",IF(K870:K1868&lt;=250,"high",IF(K870:K1868&lt;=1000,"very high"))))</f>
        <v>high</v>
      </c>
      <c r="P870" s="7">
        <v>44774</v>
      </c>
      <c r="Q870" s="7">
        <v>44774</v>
      </c>
    </row>
    <row r="871" spans="1:17" x14ac:dyDescent="0.25">
      <c r="A871" t="s">
        <v>857</v>
      </c>
      <c r="B871">
        <v>996043</v>
      </c>
      <c r="D871">
        <v>65</v>
      </c>
      <c r="G871">
        <v>98</v>
      </c>
      <c r="H871">
        <v>96</v>
      </c>
      <c r="I871" t="s">
        <v>43</v>
      </c>
      <c r="J871">
        <v>58</v>
      </c>
      <c r="K871">
        <v>122</v>
      </c>
      <c r="L871" t="str">
        <f t="shared" si="122"/>
        <v>high</v>
      </c>
      <c r="P871" s="7">
        <v>44774</v>
      </c>
      <c r="Q871" s="7">
        <v>44774</v>
      </c>
    </row>
    <row r="872" spans="1:17" x14ac:dyDescent="0.25">
      <c r="A872" t="s">
        <v>641</v>
      </c>
      <c r="B872">
        <v>9987212</v>
      </c>
      <c r="D872">
        <v>78</v>
      </c>
      <c r="G872">
        <v>98</v>
      </c>
      <c r="H872">
        <v>106</v>
      </c>
      <c r="I872" t="s">
        <v>858</v>
      </c>
      <c r="J872">
        <v>83</v>
      </c>
      <c r="K872">
        <v>282</v>
      </c>
      <c r="L872" t="str">
        <f t="shared" si="122"/>
        <v>very high</v>
      </c>
      <c r="P872" s="7">
        <v>44805</v>
      </c>
      <c r="Q872" s="7">
        <v>44805</v>
      </c>
    </row>
    <row r="873" spans="1:17" x14ac:dyDescent="0.25">
      <c r="A873" t="s">
        <v>859</v>
      </c>
      <c r="B873">
        <v>996670</v>
      </c>
      <c r="D873">
        <v>60</v>
      </c>
      <c r="G873">
        <v>98</v>
      </c>
      <c r="H873">
        <v>104</v>
      </c>
      <c r="I873" t="s">
        <v>62</v>
      </c>
      <c r="J873">
        <v>99</v>
      </c>
      <c r="K873">
        <v>182</v>
      </c>
      <c r="L873" t="str">
        <f t="shared" si="122"/>
        <v>high</v>
      </c>
      <c r="P873" s="7">
        <v>44835</v>
      </c>
      <c r="Q873" s="7">
        <v>44835</v>
      </c>
    </row>
    <row r="874" spans="1:17" x14ac:dyDescent="0.25">
      <c r="A874" t="s">
        <v>860</v>
      </c>
      <c r="B874">
        <v>999385</v>
      </c>
      <c r="D874">
        <v>76</v>
      </c>
      <c r="G874">
        <v>98</v>
      </c>
      <c r="H874">
        <v>60</v>
      </c>
      <c r="I874" t="s">
        <v>49</v>
      </c>
      <c r="J874">
        <v>97</v>
      </c>
      <c r="K874">
        <v>461</v>
      </c>
      <c r="L874" t="str">
        <f t="shared" si="122"/>
        <v>very high</v>
      </c>
      <c r="M874" t="s">
        <v>970</v>
      </c>
      <c r="P874" s="7">
        <v>44835</v>
      </c>
      <c r="Q874" s="7">
        <v>44835</v>
      </c>
    </row>
    <row r="875" spans="1:17" x14ac:dyDescent="0.25">
      <c r="A875" t="s">
        <v>861</v>
      </c>
      <c r="B875">
        <v>1001858</v>
      </c>
      <c r="D875">
        <v>71</v>
      </c>
      <c r="G875">
        <v>98</v>
      </c>
      <c r="H875">
        <v>85</v>
      </c>
      <c r="I875" t="s">
        <v>74</v>
      </c>
      <c r="J875">
        <v>92</v>
      </c>
      <c r="K875">
        <v>441</v>
      </c>
      <c r="L875" t="str">
        <f t="shared" si="122"/>
        <v>very high</v>
      </c>
      <c r="P875" s="7">
        <v>44835</v>
      </c>
      <c r="Q875" s="7">
        <v>44835</v>
      </c>
    </row>
    <row r="876" spans="1:17" hidden="1" x14ac:dyDescent="0.25">
      <c r="A876" t="s">
        <v>794</v>
      </c>
      <c r="B876">
        <v>999292</v>
      </c>
      <c r="D876">
        <v>55</v>
      </c>
      <c r="G876">
        <v>98</v>
      </c>
      <c r="H876">
        <v>70</v>
      </c>
      <c r="I876" t="s">
        <v>62</v>
      </c>
      <c r="K876">
        <v>42</v>
      </c>
      <c r="P876" s="7">
        <v>44835</v>
      </c>
      <c r="Q876" s="7">
        <v>44835</v>
      </c>
    </row>
    <row r="877" spans="1:17" hidden="1" x14ac:dyDescent="0.25">
      <c r="A877" t="s">
        <v>269</v>
      </c>
      <c r="B877">
        <v>1005171</v>
      </c>
      <c r="D877">
        <v>50</v>
      </c>
      <c r="G877">
        <v>98</v>
      </c>
      <c r="J877">
        <v>68</v>
      </c>
      <c r="P877" s="7">
        <v>44866</v>
      </c>
      <c r="Q877" s="7">
        <v>44866</v>
      </c>
    </row>
    <row r="878" spans="1:17" x14ac:dyDescent="0.25">
      <c r="A878" t="s">
        <v>862</v>
      </c>
      <c r="B878">
        <v>1005138</v>
      </c>
      <c r="D878">
        <v>65</v>
      </c>
      <c r="G878">
        <v>98</v>
      </c>
      <c r="H878">
        <v>80</v>
      </c>
      <c r="I878" t="s">
        <v>96</v>
      </c>
      <c r="J878">
        <v>55</v>
      </c>
      <c r="K878">
        <v>579</v>
      </c>
      <c r="L878" t="str">
        <f t="shared" ref="L878:L879" si="123">IF(K878:K1876&lt;=79,"sweet",IF(K878:K1876&lt;=120,"normal",IF(K878:K1876&lt;=250,"high",IF(K878:K1876&lt;=1000,"very high"))))</f>
        <v>very high</v>
      </c>
      <c r="P878" s="7">
        <v>44866</v>
      </c>
      <c r="Q878" s="7">
        <v>44866</v>
      </c>
    </row>
    <row r="879" spans="1:17" x14ac:dyDescent="0.25">
      <c r="A879" t="s">
        <v>863</v>
      </c>
      <c r="B879">
        <v>1004907</v>
      </c>
      <c r="D879">
        <v>25</v>
      </c>
      <c r="G879">
        <v>98</v>
      </c>
      <c r="H879">
        <v>45</v>
      </c>
      <c r="I879" t="s">
        <v>883</v>
      </c>
      <c r="J879">
        <v>88</v>
      </c>
      <c r="K879">
        <v>113</v>
      </c>
      <c r="L879" t="str">
        <f t="shared" si="123"/>
        <v>normal</v>
      </c>
      <c r="P879" s="7">
        <v>44866</v>
      </c>
      <c r="Q879" s="7">
        <v>44896</v>
      </c>
    </row>
    <row r="880" spans="1:17" hidden="1" x14ac:dyDescent="0.25">
      <c r="A880" t="s">
        <v>163</v>
      </c>
      <c r="B880">
        <v>1005109</v>
      </c>
      <c r="D880">
        <v>50</v>
      </c>
      <c r="G880">
        <v>98</v>
      </c>
      <c r="H880">
        <v>120</v>
      </c>
      <c r="I880" t="s">
        <v>47</v>
      </c>
      <c r="J880">
        <v>92</v>
      </c>
      <c r="K880">
        <v>74</v>
      </c>
      <c r="P880" s="7">
        <v>44866</v>
      </c>
      <c r="Q880" s="7">
        <v>44866</v>
      </c>
    </row>
    <row r="881" spans="1:17" x14ac:dyDescent="0.25">
      <c r="A881" t="s">
        <v>251</v>
      </c>
      <c r="B881">
        <v>1006186</v>
      </c>
      <c r="D881">
        <v>71</v>
      </c>
      <c r="G881">
        <v>98</v>
      </c>
      <c r="H881">
        <v>108</v>
      </c>
      <c r="I881" t="s">
        <v>47</v>
      </c>
      <c r="J881">
        <v>95</v>
      </c>
      <c r="K881">
        <v>86</v>
      </c>
      <c r="L881" t="str">
        <f>IF(K881:K1879&lt;=79,"sweet",IF(K881:K1879&lt;=120,"normal",IF(K881:K1879&lt;=250,"high",IF(K881:K1879&lt;=1000,"very high"))))</f>
        <v>normal</v>
      </c>
      <c r="O881" t="s">
        <v>977</v>
      </c>
      <c r="P881" s="7">
        <v>44896</v>
      </c>
      <c r="Q881" s="7">
        <v>44896</v>
      </c>
    </row>
    <row r="882" spans="1:17" hidden="1" x14ac:dyDescent="0.25">
      <c r="A882" t="s">
        <v>864</v>
      </c>
      <c r="B882">
        <v>1009021</v>
      </c>
      <c r="D882">
        <v>71</v>
      </c>
      <c r="G882">
        <v>98</v>
      </c>
      <c r="H882">
        <v>30</v>
      </c>
      <c r="P882" s="7">
        <v>44896</v>
      </c>
      <c r="Q882" s="7">
        <v>44896</v>
      </c>
    </row>
    <row r="883" spans="1:17" x14ac:dyDescent="0.25">
      <c r="A883" t="s">
        <v>865</v>
      </c>
      <c r="B883">
        <v>1008692</v>
      </c>
      <c r="D883">
        <v>36</v>
      </c>
      <c r="G883">
        <v>98</v>
      </c>
      <c r="H883">
        <v>111</v>
      </c>
      <c r="I883" t="s">
        <v>498</v>
      </c>
      <c r="J883">
        <v>98</v>
      </c>
      <c r="K883">
        <v>189</v>
      </c>
      <c r="L883" t="str">
        <f>IF(K883:K1881&lt;=79,"sweet",IF(K883:K1881&lt;=120,"normal",IF(K883:K1881&lt;=250,"high",IF(K883:K1881&lt;=1000,"very high"))))</f>
        <v>high</v>
      </c>
      <c r="P883" s="7">
        <v>44896</v>
      </c>
      <c r="Q883" s="7">
        <v>44896</v>
      </c>
    </row>
    <row r="884" spans="1:17" hidden="1" x14ac:dyDescent="0.25">
      <c r="A884" t="s">
        <v>866</v>
      </c>
      <c r="B884">
        <v>1009162</v>
      </c>
      <c r="D884">
        <v>20</v>
      </c>
      <c r="G884">
        <v>98</v>
      </c>
      <c r="H884">
        <v>53</v>
      </c>
      <c r="I884" t="s">
        <v>513</v>
      </c>
      <c r="J884">
        <v>86</v>
      </c>
      <c r="P884" s="7">
        <v>44896</v>
      </c>
      <c r="Q884" s="7">
        <v>44896</v>
      </c>
    </row>
    <row r="885" spans="1:17" x14ac:dyDescent="0.25">
      <c r="A885" t="s">
        <v>732</v>
      </c>
      <c r="B885">
        <v>1009778</v>
      </c>
      <c r="D885">
        <v>71</v>
      </c>
      <c r="G885">
        <v>98</v>
      </c>
      <c r="H885">
        <v>95</v>
      </c>
      <c r="I885" t="s">
        <v>96</v>
      </c>
      <c r="J885">
        <v>90</v>
      </c>
      <c r="K885">
        <v>325</v>
      </c>
      <c r="L885" t="str">
        <f>IF(K885:K1883&lt;=79,"sweet",IF(K885:K1883&lt;=120,"normal",IF(K885:K1883&lt;=250,"high",IF(K885:K1883&lt;=1000,"very high"))))</f>
        <v>very high</v>
      </c>
      <c r="O885" t="s">
        <v>967</v>
      </c>
      <c r="P885" s="7" t="s">
        <v>867</v>
      </c>
      <c r="Q885" s="7" t="s">
        <v>867</v>
      </c>
    </row>
    <row r="886" spans="1:17" hidden="1" x14ac:dyDescent="0.25">
      <c r="A886" t="s">
        <v>868</v>
      </c>
      <c r="B886">
        <v>1012737</v>
      </c>
      <c r="D886">
        <v>65</v>
      </c>
      <c r="G886">
        <v>98</v>
      </c>
      <c r="I886" t="s">
        <v>430</v>
      </c>
      <c r="K886">
        <v>68</v>
      </c>
      <c r="P886" s="7" t="s">
        <v>867</v>
      </c>
      <c r="Q886" s="7" t="s">
        <v>867</v>
      </c>
    </row>
    <row r="887" spans="1:17" hidden="1" x14ac:dyDescent="0.25">
      <c r="A887" t="s">
        <v>488</v>
      </c>
      <c r="B887">
        <v>1015313</v>
      </c>
      <c r="D887">
        <v>65</v>
      </c>
      <c r="G887">
        <v>98</v>
      </c>
      <c r="P887" s="7" t="s">
        <v>867</v>
      </c>
      <c r="Q887" s="7" t="s">
        <v>867</v>
      </c>
    </row>
    <row r="888" spans="1:17" x14ac:dyDescent="0.25">
      <c r="A888" t="s">
        <v>869</v>
      </c>
      <c r="B888">
        <v>1012704</v>
      </c>
      <c r="D888">
        <v>80</v>
      </c>
      <c r="G888">
        <v>98</v>
      </c>
      <c r="H888">
        <v>130</v>
      </c>
      <c r="I888" t="s">
        <v>28</v>
      </c>
      <c r="J888">
        <v>94</v>
      </c>
      <c r="K888">
        <v>83</v>
      </c>
      <c r="L888" t="str">
        <f t="shared" ref="L888:L890" si="124">IF(K888:K1886&lt;=79,"sweet",IF(K888:K1886&lt;=120,"normal",IF(K888:K1886&lt;=250,"high",IF(K888:K1886&lt;=1000,"very high"))))</f>
        <v>normal</v>
      </c>
      <c r="O888" t="s">
        <v>977</v>
      </c>
      <c r="P888" s="7">
        <v>44835</v>
      </c>
      <c r="Q888" s="7" t="s">
        <v>870</v>
      </c>
    </row>
    <row r="889" spans="1:17" x14ac:dyDescent="0.25">
      <c r="A889" t="s">
        <v>871</v>
      </c>
      <c r="B889">
        <v>1015113</v>
      </c>
      <c r="D889">
        <v>65</v>
      </c>
      <c r="G889">
        <v>98</v>
      </c>
      <c r="H889">
        <v>55</v>
      </c>
      <c r="I889" t="s">
        <v>498</v>
      </c>
      <c r="J889">
        <v>99</v>
      </c>
      <c r="K889">
        <v>366</v>
      </c>
      <c r="L889" t="str">
        <f t="shared" si="124"/>
        <v>very high</v>
      </c>
      <c r="O889" t="s">
        <v>967</v>
      </c>
      <c r="P889" s="7" t="s">
        <v>870</v>
      </c>
      <c r="Q889" s="7" t="s">
        <v>870</v>
      </c>
    </row>
    <row r="890" spans="1:17" x14ac:dyDescent="0.25">
      <c r="A890" t="s">
        <v>251</v>
      </c>
      <c r="B890">
        <v>1016336</v>
      </c>
      <c r="D890">
        <v>65</v>
      </c>
      <c r="G890">
        <v>98</v>
      </c>
      <c r="H890">
        <v>127</v>
      </c>
      <c r="I890" t="s">
        <v>62</v>
      </c>
      <c r="J890">
        <v>84</v>
      </c>
      <c r="K890">
        <v>228</v>
      </c>
      <c r="L890" t="str">
        <f t="shared" si="124"/>
        <v>high</v>
      </c>
      <c r="O890" t="s">
        <v>968</v>
      </c>
      <c r="P890" s="7" t="s">
        <v>870</v>
      </c>
      <c r="Q890" s="7" t="s">
        <v>870</v>
      </c>
    </row>
    <row r="891" spans="1:17" hidden="1" x14ac:dyDescent="0.25">
      <c r="A891" t="s">
        <v>626</v>
      </c>
      <c r="B891">
        <v>1019584</v>
      </c>
      <c r="D891">
        <v>28</v>
      </c>
      <c r="G891">
        <v>98</v>
      </c>
      <c r="H891">
        <v>126</v>
      </c>
      <c r="I891" t="s">
        <v>872</v>
      </c>
      <c r="J891">
        <v>82</v>
      </c>
      <c r="P891" s="7" t="s">
        <v>874</v>
      </c>
      <c r="Q891" s="7" t="s">
        <v>873</v>
      </c>
    </row>
    <row r="892" spans="1:17" x14ac:dyDescent="0.25">
      <c r="A892" t="s">
        <v>875</v>
      </c>
      <c r="B892">
        <v>1019833</v>
      </c>
      <c r="D892">
        <v>51</v>
      </c>
      <c r="G892">
        <v>98</v>
      </c>
      <c r="H892">
        <v>65</v>
      </c>
      <c r="I892" t="s">
        <v>43</v>
      </c>
      <c r="J892">
        <v>84</v>
      </c>
      <c r="K892">
        <v>111</v>
      </c>
      <c r="L892" t="str">
        <f t="shared" ref="L892:L894" si="125">IF(K892:K1890&lt;=79,"sweet",IF(K892:K1890&lt;=120,"normal",IF(K892:K1890&lt;=250,"high",IF(K892:K1890&lt;=1000,"very high"))))</f>
        <v>normal</v>
      </c>
      <c r="P892" s="7" t="s">
        <v>874</v>
      </c>
      <c r="Q892" s="7" t="s">
        <v>873</v>
      </c>
    </row>
    <row r="893" spans="1:17" x14ac:dyDescent="0.25">
      <c r="A893" t="s">
        <v>876</v>
      </c>
      <c r="B893">
        <v>1020526</v>
      </c>
      <c r="D893">
        <v>17</v>
      </c>
      <c r="G893">
        <v>98</v>
      </c>
      <c r="H893">
        <v>86</v>
      </c>
      <c r="I893" t="s">
        <v>877</v>
      </c>
      <c r="J893">
        <v>90</v>
      </c>
      <c r="K893">
        <v>125</v>
      </c>
      <c r="L893" t="str">
        <f t="shared" si="125"/>
        <v>high</v>
      </c>
      <c r="P893" s="7" t="s">
        <v>873</v>
      </c>
      <c r="Q893" s="7" t="s">
        <v>873</v>
      </c>
    </row>
    <row r="894" spans="1:17" x14ac:dyDescent="0.25">
      <c r="A894" t="s">
        <v>878</v>
      </c>
      <c r="B894">
        <v>1020835</v>
      </c>
      <c r="D894">
        <v>45</v>
      </c>
      <c r="G894">
        <v>98</v>
      </c>
      <c r="H894">
        <v>96</v>
      </c>
      <c r="I894" t="s">
        <v>697</v>
      </c>
      <c r="J894">
        <v>92</v>
      </c>
      <c r="K894">
        <v>125</v>
      </c>
      <c r="L894" t="str">
        <f t="shared" si="125"/>
        <v>high</v>
      </c>
      <c r="N894" t="s">
        <v>973</v>
      </c>
      <c r="P894" s="7" t="s">
        <v>873</v>
      </c>
      <c r="Q894" s="7" t="s">
        <v>873</v>
      </c>
    </row>
    <row r="895" spans="1:17" hidden="1" x14ac:dyDescent="0.25">
      <c r="A895" t="s">
        <v>879</v>
      </c>
      <c r="B895">
        <v>1021099</v>
      </c>
      <c r="D895">
        <v>71</v>
      </c>
      <c r="G895">
        <v>98</v>
      </c>
      <c r="I895" t="s">
        <v>94</v>
      </c>
      <c r="J895">
        <v>89</v>
      </c>
      <c r="P895" s="7" t="s">
        <v>873</v>
      </c>
      <c r="Q895" s="7" t="s">
        <v>873</v>
      </c>
    </row>
    <row r="896" spans="1:17" x14ac:dyDescent="0.25">
      <c r="A896" t="s">
        <v>880</v>
      </c>
      <c r="B896">
        <v>1016679</v>
      </c>
      <c r="D896">
        <v>70</v>
      </c>
      <c r="G896">
        <v>98</v>
      </c>
      <c r="H896">
        <v>85</v>
      </c>
      <c r="I896" t="s">
        <v>881</v>
      </c>
      <c r="J896">
        <v>97</v>
      </c>
      <c r="K896">
        <v>171</v>
      </c>
      <c r="L896" t="str">
        <f t="shared" ref="L896:L897" si="126">IF(K896:K1894&lt;=79,"sweet",IF(K896:K1894&lt;=120,"normal",IF(K896:K1894&lt;=250,"high",IF(K896:K1894&lt;=1000,"very high"))))</f>
        <v>high</v>
      </c>
      <c r="P896" s="7" t="s">
        <v>873</v>
      </c>
      <c r="Q896" s="7" t="s">
        <v>774</v>
      </c>
    </row>
    <row r="897" spans="1:17" x14ac:dyDescent="0.25">
      <c r="A897" t="s">
        <v>882</v>
      </c>
      <c r="B897">
        <v>1021770</v>
      </c>
      <c r="D897">
        <v>86</v>
      </c>
      <c r="G897">
        <v>98</v>
      </c>
      <c r="H897">
        <v>35</v>
      </c>
      <c r="I897" t="s">
        <v>883</v>
      </c>
      <c r="J897">
        <v>58</v>
      </c>
      <c r="K897">
        <v>102</v>
      </c>
      <c r="L897" t="str">
        <f t="shared" si="126"/>
        <v>normal</v>
      </c>
      <c r="P897" s="7" t="s">
        <v>873</v>
      </c>
      <c r="Q897" s="7" t="s">
        <v>774</v>
      </c>
    </row>
    <row r="898" spans="1:17" hidden="1" x14ac:dyDescent="0.25">
      <c r="A898" t="s">
        <v>884</v>
      </c>
      <c r="B898">
        <v>1024011</v>
      </c>
      <c r="D898">
        <v>50</v>
      </c>
      <c r="G898">
        <v>98</v>
      </c>
      <c r="P898" s="7" t="s">
        <v>774</v>
      </c>
      <c r="Q898" s="7" t="s">
        <v>774</v>
      </c>
    </row>
    <row r="899" spans="1:17" hidden="1" x14ac:dyDescent="0.25">
      <c r="A899" t="s">
        <v>885</v>
      </c>
      <c r="B899">
        <v>1025360</v>
      </c>
      <c r="D899">
        <v>60</v>
      </c>
      <c r="G899">
        <v>98</v>
      </c>
      <c r="J899">
        <v>90</v>
      </c>
      <c r="P899" s="7" t="s">
        <v>774</v>
      </c>
      <c r="Q899" s="7" t="s">
        <v>774</v>
      </c>
    </row>
    <row r="900" spans="1:17" x14ac:dyDescent="0.25">
      <c r="A900" t="s">
        <v>886</v>
      </c>
      <c r="B900">
        <v>1023887</v>
      </c>
      <c r="D900">
        <v>77</v>
      </c>
      <c r="G900">
        <v>98</v>
      </c>
      <c r="H900">
        <v>92</v>
      </c>
      <c r="I900" t="s">
        <v>887</v>
      </c>
      <c r="J900">
        <v>86</v>
      </c>
      <c r="K900">
        <v>351</v>
      </c>
      <c r="L900" t="str">
        <f>IF(K900:K1898&lt;=79,"sweet",IF(K900:K1898&lt;=120,"normal",IF(K900:K1898&lt;=250,"high",IF(K900:K1898&lt;=1000,"very high"))))</f>
        <v>very high</v>
      </c>
      <c r="P900" s="7" t="s">
        <v>774</v>
      </c>
      <c r="Q900" s="7" t="s">
        <v>774</v>
      </c>
    </row>
    <row r="901" spans="1:17" hidden="1" x14ac:dyDescent="0.25">
      <c r="A901" t="s">
        <v>888</v>
      </c>
      <c r="B901">
        <v>1024713</v>
      </c>
      <c r="D901">
        <v>50</v>
      </c>
      <c r="G901">
        <v>98</v>
      </c>
      <c r="H901">
        <v>97</v>
      </c>
      <c r="I901" t="s">
        <v>891</v>
      </c>
      <c r="J901">
        <v>96</v>
      </c>
      <c r="P901" s="7" t="s">
        <v>774</v>
      </c>
      <c r="Q901" s="7" t="s">
        <v>774</v>
      </c>
    </row>
    <row r="902" spans="1:17" hidden="1" x14ac:dyDescent="0.25">
      <c r="A902" t="s">
        <v>889</v>
      </c>
      <c r="B902">
        <v>1026043</v>
      </c>
      <c r="D902">
        <v>57</v>
      </c>
      <c r="G902">
        <v>98</v>
      </c>
      <c r="H902">
        <v>50</v>
      </c>
      <c r="I902" t="s">
        <v>890</v>
      </c>
      <c r="P902" s="7" t="s">
        <v>774</v>
      </c>
      <c r="Q902" s="7" t="s">
        <v>774</v>
      </c>
    </row>
    <row r="903" spans="1:17" hidden="1" x14ac:dyDescent="0.25">
      <c r="A903" t="s">
        <v>405</v>
      </c>
      <c r="B903">
        <v>102309</v>
      </c>
      <c r="D903">
        <v>46</v>
      </c>
      <c r="G903">
        <v>98</v>
      </c>
      <c r="H903">
        <v>70</v>
      </c>
      <c r="I903" t="s">
        <v>161</v>
      </c>
      <c r="P903" s="7" t="s">
        <v>774</v>
      </c>
      <c r="Q903" s="7" t="s">
        <v>774</v>
      </c>
    </row>
    <row r="904" spans="1:17" x14ac:dyDescent="0.25">
      <c r="A904" t="s">
        <v>892</v>
      </c>
      <c r="B904">
        <v>1024398</v>
      </c>
      <c r="D904">
        <v>60</v>
      </c>
      <c r="G904">
        <v>98</v>
      </c>
      <c r="H904">
        <v>129</v>
      </c>
      <c r="I904" t="s">
        <v>893</v>
      </c>
      <c r="J904">
        <v>56</v>
      </c>
      <c r="K904">
        <v>350</v>
      </c>
      <c r="L904" t="str">
        <f t="shared" ref="L904:L906" si="127">IF(K904:K1902&lt;=79,"sweet",IF(K904:K1902&lt;=120,"normal",IF(K904:K1902&lt;=250,"high",IF(K904:K1902&lt;=1000,"very high"))))</f>
        <v>very high</v>
      </c>
      <c r="N904" t="s">
        <v>975</v>
      </c>
      <c r="O904" t="s">
        <v>967</v>
      </c>
      <c r="P904" s="7" t="s">
        <v>774</v>
      </c>
      <c r="Q904" s="7" t="s">
        <v>774</v>
      </c>
    </row>
    <row r="905" spans="1:17" x14ac:dyDescent="0.25">
      <c r="A905" t="s">
        <v>894</v>
      </c>
      <c r="B905">
        <v>1025713</v>
      </c>
      <c r="D905">
        <v>71</v>
      </c>
      <c r="G905">
        <v>98</v>
      </c>
      <c r="H905">
        <v>70</v>
      </c>
      <c r="I905" t="s">
        <v>154</v>
      </c>
      <c r="J905">
        <v>98</v>
      </c>
      <c r="K905">
        <v>121</v>
      </c>
      <c r="L905" t="str">
        <f t="shared" si="127"/>
        <v>high</v>
      </c>
      <c r="P905" s="7" t="s">
        <v>774</v>
      </c>
      <c r="Q905" s="7" t="s">
        <v>770</v>
      </c>
    </row>
    <row r="906" spans="1:17" x14ac:dyDescent="0.25">
      <c r="A906" t="s">
        <v>895</v>
      </c>
      <c r="B906">
        <v>1025986</v>
      </c>
      <c r="D906">
        <v>65</v>
      </c>
      <c r="G906">
        <v>98</v>
      </c>
      <c r="H906">
        <v>133</v>
      </c>
      <c r="I906" t="s">
        <v>896</v>
      </c>
      <c r="J906">
        <v>98</v>
      </c>
      <c r="K906">
        <v>116</v>
      </c>
      <c r="L906" t="str">
        <f t="shared" si="127"/>
        <v>normal</v>
      </c>
      <c r="P906" s="7" t="s">
        <v>774</v>
      </c>
      <c r="Q906" s="7" t="s">
        <v>770</v>
      </c>
    </row>
    <row r="907" spans="1:17" hidden="1" x14ac:dyDescent="0.25">
      <c r="A907" t="s">
        <v>897</v>
      </c>
      <c r="B907">
        <v>1026255</v>
      </c>
      <c r="D907">
        <v>64</v>
      </c>
      <c r="G907">
        <v>98</v>
      </c>
      <c r="K907">
        <v>50</v>
      </c>
      <c r="O907" t="s">
        <v>967</v>
      </c>
      <c r="P907" s="7" t="s">
        <v>774</v>
      </c>
      <c r="Q907" s="7" t="s">
        <v>770</v>
      </c>
    </row>
    <row r="908" spans="1:17" x14ac:dyDescent="0.25">
      <c r="A908" t="s">
        <v>898</v>
      </c>
      <c r="B908">
        <v>1026020</v>
      </c>
      <c r="D908">
        <v>44</v>
      </c>
      <c r="G908">
        <v>98</v>
      </c>
      <c r="H908">
        <v>78</v>
      </c>
      <c r="I908" t="s">
        <v>899</v>
      </c>
      <c r="J908">
        <v>80</v>
      </c>
      <c r="K908">
        <v>139</v>
      </c>
      <c r="L908" t="str">
        <f t="shared" ref="L908:L909" si="128">IF(K908:K1906&lt;=79,"sweet",IF(K908:K1906&lt;=120,"normal",IF(K908:K1906&lt;=250,"high",IF(K908:K1906&lt;=1000,"very high"))))</f>
        <v>high</v>
      </c>
      <c r="P908" s="7" t="s">
        <v>774</v>
      </c>
      <c r="Q908" s="7" t="s">
        <v>770</v>
      </c>
    </row>
    <row r="909" spans="1:17" x14ac:dyDescent="0.25">
      <c r="A909" t="s">
        <v>900</v>
      </c>
      <c r="B909">
        <v>1019563</v>
      </c>
      <c r="D909">
        <v>50</v>
      </c>
      <c r="G909">
        <v>98</v>
      </c>
      <c r="H909">
        <v>116</v>
      </c>
      <c r="I909" t="s">
        <v>901</v>
      </c>
      <c r="J909">
        <v>96</v>
      </c>
      <c r="K909">
        <v>115</v>
      </c>
      <c r="L909" t="str">
        <f t="shared" si="128"/>
        <v>normal</v>
      </c>
      <c r="P909" s="7" t="s">
        <v>874</v>
      </c>
      <c r="Q909" s="7" t="s">
        <v>770</v>
      </c>
    </row>
    <row r="910" spans="1:17" hidden="1" x14ac:dyDescent="0.25">
      <c r="A910" t="s">
        <v>902</v>
      </c>
      <c r="B910">
        <v>1026959</v>
      </c>
      <c r="D910">
        <v>32</v>
      </c>
      <c r="G910">
        <v>98</v>
      </c>
      <c r="I910" t="s">
        <v>659</v>
      </c>
      <c r="P910" s="7" t="s">
        <v>770</v>
      </c>
      <c r="Q910" s="7" t="s">
        <v>770</v>
      </c>
    </row>
    <row r="911" spans="1:17" x14ac:dyDescent="0.25">
      <c r="A911" t="s">
        <v>220</v>
      </c>
      <c r="B911">
        <v>1028681</v>
      </c>
      <c r="D911">
        <v>38</v>
      </c>
      <c r="G911">
        <v>98</v>
      </c>
      <c r="H911">
        <v>45</v>
      </c>
      <c r="I911" t="s">
        <v>883</v>
      </c>
      <c r="J911">
        <v>99</v>
      </c>
      <c r="K911">
        <v>400</v>
      </c>
      <c r="L911" t="str">
        <f>IF(K911:K1909&lt;=79,"sweet",IF(K911:K1909&lt;=120,"normal",IF(K911:K1909&lt;=250,"high",IF(K911:K1909&lt;=1000,"very high"))))</f>
        <v>very high</v>
      </c>
      <c r="P911" s="7" t="s">
        <v>770</v>
      </c>
      <c r="Q911" s="7" t="s">
        <v>770</v>
      </c>
    </row>
    <row r="912" spans="1:17" hidden="1" x14ac:dyDescent="0.25">
      <c r="A912" t="s">
        <v>903</v>
      </c>
      <c r="B912">
        <v>970988</v>
      </c>
      <c r="D912">
        <v>40</v>
      </c>
      <c r="G912">
        <v>98</v>
      </c>
      <c r="H912">
        <v>95</v>
      </c>
      <c r="I912" t="s">
        <v>904</v>
      </c>
      <c r="J912">
        <v>98</v>
      </c>
      <c r="K912">
        <v>24</v>
      </c>
      <c r="O912" t="s">
        <v>967</v>
      </c>
      <c r="P912" s="7" t="s">
        <v>905</v>
      </c>
      <c r="Q912" s="7">
        <v>44562</v>
      </c>
    </row>
    <row r="913" spans="1:17" x14ac:dyDescent="0.25">
      <c r="A913" t="s">
        <v>336</v>
      </c>
      <c r="B913">
        <v>975523</v>
      </c>
      <c r="D913">
        <v>80</v>
      </c>
      <c r="G913">
        <v>98</v>
      </c>
      <c r="H913">
        <v>134</v>
      </c>
      <c r="I913" t="s">
        <v>906</v>
      </c>
      <c r="J913">
        <v>89</v>
      </c>
      <c r="K913">
        <v>555</v>
      </c>
      <c r="L913" t="str">
        <f>IF(K913:K1911&lt;=79,"sweet",IF(K913:K1911&lt;=120,"normal",IF(K913:K1911&lt;=250,"high",IF(K913:K1911&lt;=1000,"very high"))))</f>
        <v>very high</v>
      </c>
      <c r="N913" t="s">
        <v>973</v>
      </c>
      <c r="O913" t="s">
        <v>967</v>
      </c>
      <c r="P913" s="7">
        <v>44562</v>
      </c>
      <c r="Q913" s="7">
        <v>44562</v>
      </c>
    </row>
    <row r="914" spans="1:17" hidden="1" x14ac:dyDescent="0.25">
      <c r="A914" t="s">
        <v>907</v>
      </c>
      <c r="B914">
        <v>977056</v>
      </c>
      <c r="D914">
        <v>16</v>
      </c>
      <c r="G914">
        <v>98</v>
      </c>
      <c r="J914">
        <v>60</v>
      </c>
      <c r="P914" s="7">
        <v>44562</v>
      </c>
      <c r="Q914" s="7">
        <v>44562</v>
      </c>
    </row>
    <row r="915" spans="1:17" hidden="1" x14ac:dyDescent="0.25">
      <c r="A915" t="s">
        <v>908</v>
      </c>
      <c r="B915">
        <v>975628</v>
      </c>
      <c r="D915">
        <v>59</v>
      </c>
      <c r="G915">
        <v>98</v>
      </c>
      <c r="H915">
        <v>202</v>
      </c>
      <c r="I915" t="s">
        <v>909</v>
      </c>
      <c r="J915">
        <v>99</v>
      </c>
      <c r="K915">
        <v>73</v>
      </c>
      <c r="O915" t="s">
        <v>968</v>
      </c>
      <c r="P915" s="7">
        <v>44562</v>
      </c>
      <c r="Q915" s="7">
        <v>44562</v>
      </c>
    </row>
    <row r="916" spans="1:17" x14ac:dyDescent="0.25">
      <c r="A916" t="s">
        <v>696</v>
      </c>
      <c r="B916">
        <v>976726</v>
      </c>
      <c r="D916">
        <v>45</v>
      </c>
      <c r="G916">
        <v>98</v>
      </c>
      <c r="H916">
        <v>96</v>
      </c>
      <c r="I916" s="3" t="s">
        <v>910</v>
      </c>
      <c r="J916">
        <v>92</v>
      </c>
      <c r="K916">
        <v>600</v>
      </c>
      <c r="L916" t="str">
        <f>IF(K916:K1914&lt;=79,"sweet",IF(K916:K1914&lt;=120,"normal",IF(K916:K1914&lt;=250,"high",IF(K916:K1914&lt;=1000,"very high"))))</f>
        <v>very high</v>
      </c>
      <c r="O916" t="s">
        <v>967</v>
      </c>
      <c r="P916" s="7">
        <v>44593</v>
      </c>
      <c r="Q916" s="7">
        <v>44593</v>
      </c>
    </row>
    <row r="917" spans="1:17" hidden="1" x14ac:dyDescent="0.25">
      <c r="A917" t="s">
        <v>911</v>
      </c>
      <c r="B917">
        <v>978937</v>
      </c>
      <c r="D917">
        <v>30</v>
      </c>
      <c r="G917">
        <v>98</v>
      </c>
      <c r="H917">
        <v>142</v>
      </c>
      <c r="I917" t="s">
        <v>912</v>
      </c>
      <c r="P917" s="7">
        <v>44593</v>
      </c>
      <c r="Q917" s="7">
        <v>44593</v>
      </c>
    </row>
    <row r="918" spans="1:17" hidden="1" x14ac:dyDescent="0.25">
      <c r="A918" t="s">
        <v>913</v>
      </c>
      <c r="B918">
        <v>979378</v>
      </c>
      <c r="D918">
        <v>76</v>
      </c>
      <c r="G918">
        <v>98</v>
      </c>
      <c r="H918">
        <v>82</v>
      </c>
      <c r="I918" t="s">
        <v>914</v>
      </c>
      <c r="J918">
        <v>80</v>
      </c>
      <c r="P918" s="7">
        <v>44593</v>
      </c>
      <c r="Q918" s="7">
        <v>44593</v>
      </c>
    </row>
    <row r="919" spans="1:17" hidden="1" x14ac:dyDescent="0.25">
      <c r="A919" t="s">
        <v>641</v>
      </c>
      <c r="B919">
        <v>979344</v>
      </c>
      <c r="D919">
        <v>65</v>
      </c>
      <c r="G919">
        <v>98</v>
      </c>
      <c r="H919">
        <v>144</v>
      </c>
      <c r="I919" t="s">
        <v>120</v>
      </c>
      <c r="J919">
        <v>86</v>
      </c>
      <c r="P919" s="7">
        <v>44593</v>
      </c>
      <c r="Q919" s="7">
        <v>44621</v>
      </c>
    </row>
    <row r="920" spans="1:17" hidden="1" x14ac:dyDescent="0.25">
      <c r="A920" t="s">
        <v>915</v>
      </c>
      <c r="B920">
        <v>979556</v>
      </c>
      <c r="D920">
        <v>19</v>
      </c>
      <c r="G920">
        <v>98</v>
      </c>
      <c r="H920">
        <v>104</v>
      </c>
      <c r="I920" t="s">
        <v>6</v>
      </c>
      <c r="P920" s="7">
        <v>44593</v>
      </c>
      <c r="Q920" s="7">
        <v>44621</v>
      </c>
    </row>
    <row r="921" spans="1:17" x14ac:dyDescent="0.25">
      <c r="A921" t="s">
        <v>916</v>
      </c>
      <c r="B921">
        <v>996070</v>
      </c>
      <c r="D921">
        <v>52</v>
      </c>
      <c r="G921">
        <v>98</v>
      </c>
      <c r="H921">
        <v>65</v>
      </c>
      <c r="I921" t="s">
        <v>906</v>
      </c>
      <c r="J921">
        <v>87</v>
      </c>
      <c r="K921">
        <v>238</v>
      </c>
      <c r="L921" t="str">
        <f>IF(K921:K1919&lt;=79,"sweet",IF(K921:K1919&lt;=120,"normal",IF(K921:K1919&lt;=250,"high",IF(K921:K1919&lt;=1000,"very high"))))</f>
        <v>high</v>
      </c>
      <c r="N921" t="s">
        <v>972</v>
      </c>
      <c r="P921" s="7">
        <v>44774</v>
      </c>
      <c r="Q921" s="7">
        <v>44774</v>
      </c>
    </row>
    <row r="922" spans="1:17" hidden="1" x14ac:dyDescent="0.25">
      <c r="A922" t="s">
        <v>917</v>
      </c>
      <c r="B922">
        <v>979157</v>
      </c>
      <c r="D922">
        <v>90</v>
      </c>
      <c r="G922">
        <v>98</v>
      </c>
      <c r="I922" t="s">
        <v>31</v>
      </c>
      <c r="J922">
        <v>88</v>
      </c>
      <c r="P922" s="7">
        <v>44593</v>
      </c>
      <c r="Q922" s="7">
        <v>44621</v>
      </c>
    </row>
    <row r="923" spans="1:17" x14ac:dyDescent="0.25">
      <c r="A923" t="s">
        <v>600</v>
      </c>
      <c r="B923">
        <v>979561</v>
      </c>
      <c r="D923">
        <v>78</v>
      </c>
      <c r="G923">
        <v>98</v>
      </c>
      <c r="H923">
        <v>119</v>
      </c>
      <c r="I923" t="s">
        <v>49</v>
      </c>
      <c r="J923">
        <v>89</v>
      </c>
      <c r="K923">
        <v>555</v>
      </c>
      <c r="L923" t="str">
        <f t="shared" ref="L923:L925" si="129">IF(K923:K1921&lt;=79,"sweet",IF(K923:K1921&lt;=120,"normal",IF(K923:K1921&lt;=250,"high",IF(K923:K1921&lt;=1000,"very high"))))</f>
        <v>very high</v>
      </c>
      <c r="N923" t="s">
        <v>974</v>
      </c>
      <c r="P923" s="7">
        <v>44593</v>
      </c>
      <c r="Q923" s="7">
        <v>44621</v>
      </c>
    </row>
    <row r="924" spans="1:17" x14ac:dyDescent="0.25">
      <c r="A924" t="s">
        <v>918</v>
      </c>
      <c r="B924">
        <v>980003</v>
      </c>
      <c r="D924">
        <v>55</v>
      </c>
      <c r="G924">
        <v>98</v>
      </c>
      <c r="H924">
        <v>88</v>
      </c>
      <c r="I924" t="s">
        <v>154</v>
      </c>
      <c r="J924">
        <v>99</v>
      </c>
      <c r="K924">
        <v>126</v>
      </c>
      <c r="L924" t="str">
        <f t="shared" si="129"/>
        <v>high</v>
      </c>
      <c r="P924" s="7">
        <v>44621</v>
      </c>
      <c r="Q924" s="7">
        <v>44621</v>
      </c>
    </row>
    <row r="925" spans="1:17" x14ac:dyDescent="0.25">
      <c r="A925" t="s">
        <v>919</v>
      </c>
      <c r="B925">
        <v>980092</v>
      </c>
      <c r="D925">
        <v>80</v>
      </c>
      <c r="G925">
        <v>98</v>
      </c>
      <c r="H925">
        <v>57</v>
      </c>
      <c r="I925" t="s">
        <v>6</v>
      </c>
      <c r="J925">
        <v>78</v>
      </c>
      <c r="K925">
        <v>427</v>
      </c>
      <c r="L925" t="str">
        <f t="shared" si="129"/>
        <v>very high</v>
      </c>
      <c r="M925" t="s">
        <v>970</v>
      </c>
      <c r="N925" t="s">
        <v>974</v>
      </c>
      <c r="P925" s="7">
        <v>44593</v>
      </c>
      <c r="Q925" s="7">
        <v>44621</v>
      </c>
    </row>
    <row r="926" spans="1:17" hidden="1" x14ac:dyDescent="0.25">
      <c r="A926" t="s">
        <v>920</v>
      </c>
      <c r="B926">
        <v>979939</v>
      </c>
      <c r="D926">
        <v>87</v>
      </c>
      <c r="G926">
        <v>98</v>
      </c>
      <c r="H926">
        <v>114</v>
      </c>
      <c r="I926" t="s">
        <v>68</v>
      </c>
      <c r="J926">
        <v>89</v>
      </c>
      <c r="P926" s="7">
        <v>44593</v>
      </c>
      <c r="Q926" s="7">
        <v>44621</v>
      </c>
    </row>
    <row r="927" spans="1:17" hidden="1" x14ac:dyDescent="0.25">
      <c r="A927" t="s">
        <v>543</v>
      </c>
      <c r="B927">
        <v>982795</v>
      </c>
      <c r="D927">
        <v>35</v>
      </c>
      <c r="G927">
        <v>98</v>
      </c>
      <c r="H927">
        <v>175</v>
      </c>
      <c r="I927" t="s">
        <v>921</v>
      </c>
      <c r="J927">
        <v>85</v>
      </c>
      <c r="P927" s="7">
        <v>44621</v>
      </c>
      <c r="Q927" s="7">
        <v>44621</v>
      </c>
    </row>
    <row r="928" spans="1:17" x14ac:dyDescent="0.25">
      <c r="A928" t="s">
        <v>922</v>
      </c>
      <c r="B928">
        <v>982438</v>
      </c>
      <c r="D928">
        <v>60</v>
      </c>
      <c r="G928">
        <v>98</v>
      </c>
      <c r="H928">
        <v>78</v>
      </c>
      <c r="I928" t="s">
        <v>923</v>
      </c>
      <c r="J928">
        <v>65</v>
      </c>
      <c r="K928">
        <v>132</v>
      </c>
      <c r="L928" t="str">
        <f>IF(K928:K1926&lt;=79,"sweet",IF(K928:K1926&lt;=120,"normal",IF(K928:K1926&lt;=250,"high",IF(K928:K1926&lt;=1000,"very high"))))</f>
        <v>high</v>
      </c>
      <c r="P928" s="7">
        <v>44621</v>
      </c>
      <c r="Q928" s="7">
        <v>44621</v>
      </c>
    </row>
    <row r="929" spans="1:17" hidden="1" x14ac:dyDescent="0.25">
      <c r="A929" t="s">
        <v>924</v>
      </c>
      <c r="B929">
        <v>983322</v>
      </c>
      <c r="D929">
        <v>42</v>
      </c>
      <c r="G929">
        <v>98</v>
      </c>
      <c r="H929">
        <v>101</v>
      </c>
      <c r="I929" t="s">
        <v>332</v>
      </c>
      <c r="K929">
        <v>71</v>
      </c>
      <c r="P929" s="7">
        <v>44621</v>
      </c>
      <c r="Q929" s="7">
        <v>44621</v>
      </c>
    </row>
    <row r="930" spans="1:17" x14ac:dyDescent="0.25">
      <c r="A930" t="s">
        <v>788</v>
      </c>
      <c r="B930">
        <v>980187</v>
      </c>
      <c r="D930">
        <v>60</v>
      </c>
      <c r="G930">
        <v>98</v>
      </c>
      <c r="H930">
        <v>99</v>
      </c>
      <c r="I930" t="s">
        <v>925</v>
      </c>
      <c r="J930">
        <v>99</v>
      </c>
      <c r="K930">
        <v>317</v>
      </c>
      <c r="L930" t="str">
        <f>IF(K930:K1928&lt;=79,"sweet",IF(K930:K1928&lt;=120,"normal",IF(K930:K1928&lt;=250,"high",IF(K930:K1928&lt;=1000,"very high"))))</f>
        <v>very high</v>
      </c>
      <c r="P930" s="7">
        <v>44621</v>
      </c>
      <c r="Q930" s="7">
        <v>44652</v>
      </c>
    </row>
    <row r="931" spans="1:17" hidden="1" x14ac:dyDescent="0.25">
      <c r="A931" t="s">
        <v>926</v>
      </c>
      <c r="B931">
        <v>983830</v>
      </c>
      <c r="D931">
        <v>60</v>
      </c>
      <c r="G931">
        <v>98</v>
      </c>
      <c r="H931">
        <v>104</v>
      </c>
      <c r="I931" t="s">
        <v>6</v>
      </c>
      <c r="P931" s="7">
        <v>44652</v>
      </c>
      <c r="Q931" s="7">
        <v>44652</v>
      </c>
    </row>
    <row r="932" spans="1:17" x14ac:dyDescent="0.25">
      <c r="A932" t="s">
        <v>927</v>
      </c>
      <c r="B932">
        <v>984031</v>
      </c>
      <c r="D932">
        <v>40</v>
      </c>
      <c r="G932">
        <v>98</v>
      </c>
      <c r="H932">
        <v>107</v>
      </c>
      <c r="I932" t="s">
        <v>928</v>
      </c>
      <c r="J932">
        <v>75</v>
      </c>
      <c r="K932">
        <v>295</v>
      </c>
      <c r="L932" t="str">
        <f t="shared" ref="L932:L933" si="130">IF(K932:K1930&lt;=79,"sweet",IF(K932:K1930&lt;=120,"normal",IF(K932:K1930&lt;=250,"high",IF(K932:K1930&lt;=1000,"very high"))))</f>
        <v>very high</v>
      </c>
      <c r="O932" t="s">
        <v>968</v>
      </c>
      <c r="P932" s="7">
        <v>44652</v>
      </c>
      <c r="Q932" s="7">
        <v>44652</v>
      </c>
    </row>
    <row r="933" spans="1:17" x14ac:dyDescent="0.25">
      <c r="A933" t="s">
        <v>929</v>
      </c>
      <c r="B933">
        <v>983730</v>
      </c>
      <c r="D933">
        <v>17</v>
      </c>
      <c r="G933">
        <v>98</v>
      </c>
      <c r="H933">
        <v>148</v>
      </c>
      <c r="I933" t="s">
        <v>6</v>
      </c>
      <c r="J933">
        <v>45</v>
      </c>
      <c r="K933">
        <v>137</v>
      </c>
      <c r="L933" t="str">
        <f t="shared" si="130"/>
        <v>high</v>
      </c>
      <c r="O933" t="s">
        <v>977</v>
      </c>
      <c r="P933" s="7">
        <v>44652</v>
      </c>
      <c r="Q933" s="7">
        <v>44652</v>
      </c>
    </row>
    <row r="934" spans="1:17" hidden="1" x14ac:dyDescent="0.25">
      <c r="A934" t="s">
        <v>930</v>
      </c>
      <c r="B934">
        <v>986172</v>
      </c>
      <c r="D934">
        <v>35</v>
      </c>
      <c r="G934">
        <v>98</v>
      </c>
      <c r="H934">
        <v>93</v>
      </c>
      <c r="I934" t="s">
        <v>47</v>
      </c>
      <c r="J934">
        <v>72</v>
      </c>
      <c r="P934" s="7">
        <v>44652</v>
      </c>
      <c r="Q934" s="7">
        <v>44652</v>
      </c>
    </row>
    <row r="935" spans="1:17" hidden="1" x14ac:dyDescent="0.25">
      <c r="A935" t="s">
        <v>163</v>
      </c>
      <c r="B935">
        <v>986934</v>
      </c>
      <c r="D935">
        <v>73</v>
      </c>
      <c r="G935">
        <v>98</v>
      </c>
      <c r="H935">
        <v>83</v>
      </c>
      <c r="J935">
        <v>94</v>
      </c>
      <c r="P935" s="7">
        <v>44652</v>
      </c>
      <c r="Q935" s="7">
        <v>44652</v>
      </c>
    </row>
    <row r="936" spans="1:17" hidden="1" x14ac:dyDescent="0.25">
      <c r="A936" t="s">
        <v>931</v>
      </c>
      <c r="B936">
        <v>91858530</v>
      </c>
      <c r="D936">
        <v>60</v>
      </c>
      <c r="G936">
        <v>98</v>
      </c>
      <c r="H936">
        <v>118</v>
      </c>
      <c r="I936" t="s">
        <v>79</v>
      </c>
      <c r="J936">
        <v>75</v>
      </c>
      <c r="P936" s="7">
        <v>44652</v>
      </c>
      <c r="Q936" s="7">
        <v>44652</v>
      </c>
    </row>
    <row r="937" spans="1:17" x14ac:dyDescent="0.25">
      <c r="A937" t="s">
        <v>251</v>
      </c>
      <c r="B937">
        <v>983068</v>
      </c>
      <c r="D937">
        <v>31</v>
      </c>
      <c r="G937">
        <v>98</v>
      </c>
      <c r="H937">
        <v>101</v>
      </c>
      <c r="I937" t="s">
        <v>96</v>
      </c>
      <c r="J937">
        <v>78</v>
      </c>
      <c r="K937">
        <v>96</v>
      </c>
      <c r="L937" t="str">
        <f t="shared" ref="L937:L942" si="131">IF(K937:K1935&lt;=79,"sweet",IF(K937:K1935&lt;=120,"normal",IF(K937:K1935&lt;=250,"high",IF(K937:K1935&lt;=1000,"very high"))))</f>
        <v>normal</v>
      </c>
      <c r="O937" t="s">
        <v>977</v>
      </c>
      <c r="P937" s="7">
        <v>44621</v>
      </c>
      <c r="Q937" s="7">
        <v>44682</v>
      </c>
    </row>
    <row r="938" spans="1:17" x14ac:dyDescent="0.25">
      <c r="A938" t="s">
        <v>932</v>
      </c>
      <c r="B938">
        <v>986995</v>
      </c>
      <c r="D938">
        <v>45</v>
      </c>
      <c r="G938">
        <v>98</v>
      </c>
      <c r="H938">
        <v>99</v>
      </c>
      <c r="I938" t="s">
        <v>933</v>
      </c>
      <c r="J938">
        <v>98</v>
      </c>
      <c r="K938">
        <v>510</v>
      </c>
      <c r="L938" t="str">
        <f t="shared" si="131"/>
        <v>very high</v>
      </c>
      <c r="N938" t="s">
        <v>974</v>
      </c>
      <c r="O938" t="s">
        <v>967</v>
      </c>
      <c r="P938" s="7">
        <v>44682</v>
      </c>
      <c r="Q938" s="7">
        <v>44682</v>
      </c>
    </row>
    <row r="939" spans="1:17" x14ac:dyDescent="0.25">
      <c r="A939" t="s">
        <v>934</v>
      </c>
      <c r="B939">
        <v>986184</v>
      </c>
      <c r="D939">
        <v>48</v>
      </c>
      <c r="G939">
        <v>98</v>
      </c>
      <c r="H939">
        <v>98</v>
      </c>
      <c r="I939" t="s">
        <v>94</v>
      </c>
      <c r="J939">
        <v>80</v>
      </c>
      <c r="K939">
        <v>311</v>
      </c>
      <c r="L939" t="str">
        <f t="shared" si="131"/>
        <v>very high</v>
      </c>
      <c r="O939" t="s">
        <v>967</v>
      </c>
      <c r="P939" s="7">
        <v>44682</v>
      </c>
      <c r="Q939" s="7">
        <v>44682</v>
      </c>
    </row>
    <row r="940" spans="1:17" x14ac:dyDescent="0.25">
      <c r="A940" t="s">
        <v>251</v>
      </c>
      <c r="B940">
        <v>988346</v>
      </c>
      <c r="D940">
        <v>45</v>
      </c>
      <c r="G940">
        <v>98</v>
      </c>
      <c r="H940">
        <v>95</v>
      </c>
      <c r="I940" t="s">
        <v>154</v>
      </c>
      <c r="J940">
        <v>99</v>
      </c>
      <c r="K940">
        <v>83</v>
      </c>
      <c r="L940" t="str">
        <f t="shared" si="131"/>
        <v>normal</v>
      </c>
      <c r="O940" t="s">
        <v>977</v>
      </c>
      <c r="P940" s="7">
        <v>44682</v>
      </c>
      <c r="Q940" s="7">
        <v>44682</v>
      </c>
    </row>
    <row r="941" spans="1:17" x14ac:dyDescent="0.25">
      <c r="A941" t="s">
        <v>935</v>
      </c>
      <c r="B941">
        <v>396635</v>
      </c>
      <c r="D941">
        <v>70</v>
      </c>
      <c r="G941">
        <v>98</v>
      </c>
      <c r="H941">
        <v>35</v>
      </c>
      <c r="I941" t="s">
        <v>980</v>
      </c>
      <c r="J941">
        <v>50</v>
      </c>
      <c r="K941">
        <v>280</v>
      </c>
      <c r="L941" t="str">
        <f t="shared" si="131"/>
        <v>very high</v>
      </c>
      <c r="O941" t="s">
        <v>968</v>
      </c>
      <c r="P941" s="7">
        <v>44682</v>
      </c>
      <c r="Q941" s="7">
        <v>44682</v>
      </c>
    </row>
    <row r="942" spans="1:17" x14ac:dyDescent="0.25">
      <c r="A942" t="s">
        <v>936</v>
      </c>
      <c r="B942">
        <v>396979</v>
      </c>
      <c r="D942">
        <v>32</v>
      </c>
      <c r="G942">
        <v>98</v>
      </c>
      <c r="H942">
        <v>110</v>
      </c>
      <c r="I942" t="s">
        <v>937</v>
      </c>
      <c r="J942">
        <v>90</v>
      </c>
      <c r="K942">
        <v>88</v>
      </c>
      <c r="L942" t="str">
        <f t="shared" si="131"/>
        <v>normal</v>
      </c>
      <c r="O942" t="s">
        <v>977</v>
      </c>
      <c r="P942" s="7">
        <v>44682</v>
      </c>
      <c r="Q942" s="7">
        <v>44682</v>
      </c>
    </row>
    <row r="943" spans="1:17" hidden="1" x14ac:dyDescent="0.25">
      <c r="A943" t="s">
        <v>938</v>
      </c>
      <c r="B943">
        <v>989105</v>
      </c>
      <c r="D943">
        <v>50</v>
      </c>
      <c r="G943">
        <v>98</v>
      </c>
      <c r="P943" s="7">
        <v>44682</v>
      </c>
      <c r="Q943" s="7">
        <v>44682</v>
      </c>
    </row>
    <row r="944" spans="1:17" hidden="1" x14ac:dyDescent="0.25">
      <c r="A944" t="s">
        <v>586</v>
      </c>
      <c r="B944">
        <v>989009</v>
      </c>
      <c r="D944">
        <v>21</v>
      </c>
      <c r="G944">
        <v>98</v>
      </c>
      <c r="I944" t="s">
        <v>74</v>
      </c>
      <c r="P944" s="7">
        <v>44682</v>
      </c>
      <c r="Q944" s="7">
        <v>44713</v>
      </c>
    </row>
    <row r="945" spans="1:17" x14ac:dyDescent="0.25">
      <c r="A945" t="s">
        <v>840</v>
      </c>
      <c r="B945">
        <v>986930</v>
      </c>
      <c r="D945">
        <v>70</v>
      </c>
      <c r="G945">
        <v>98</v>
      </c>
      <c r="H945">
        <v>100</v>
      </c>
      <c r="I945" t="s">
        <v>939</v>
      </c>
      <c r="J945">
        <v>100</v>
      </c>
      <c r="K945">
        <v>80</v>
      </c>
      <c r="L945" t="str">
        <f t="shared" ref="L945:L947" si="132">IF(K945:K1943&lt;=79,"sweet",IF(K945:K1943&lt;=120,"normal",IF(K945:K1943&lt;=250,"high",IF(K945:K1943&lt;=1000,"very high"))))</f>
        <v>normal</v>
      </c>
      <c r="P945" s="7">
        <v>44682</v>
      </c>
      <c r="Q945" s="7">
        <v>44713</v>
      </c>
    </row>
    <row r="946" spans="1:17" x14ac:dyDescent="0.25">
      <c r="A946" t="s">
        <v>940</v>
      </c>
      <c r="B946">
        <v>989313</v>
      </c>
      <c r="D946">
        <v>90</v>
      </c>
      <c r="G946">
        <v>98</v>
      </c>
      <c r="H946">
        <v>112</v>
      </c>
      <c r="I946" t="s">
        <v>245</v>
      </c>
      <c r="J946">
        <v>90</v>
      </c>
      <c r="K946">
        <v>90</v>
      </c>
      <c r="L946" t="str">
        <f t="shared" si="132"/>
        <v>normal</v>
      </c>
      <c r="P946" s="7">
        <v>44682</v>
      </c>
      <c r="Q946" s="7">
        <v>44713</v>
      </c>
    </row>
    <row r="947" spans="1:17" x14ac:dyDescent="0.25">
      <c r="A947" t="s">
        <v>941</v>
      </c>
      <c r="B947">
        <v>991693</v>
      </c>
      <c r="D947">
        <v>35</v>
      </c>
      <c r="G947">
        <v>98</v>
      </c>
      <c r="H947">
        <v>115</v>
      </c>
      <c r="I947" t="s">
        <v>979</v>
      </c>
      <c r="J947">
        <v>40</v>
      </c>
      <c r="K947">
        <v>450</v>
      </c>
      <c r="L947" t="str">
        <f t="shared" si="132"/>
        <v>very high</v>
      </c>
      <c r="O947" t="s">
        <v>967</v>
      </c>
      <c r="P947" s="7">
        <v>44713</v>
      </c>
      <c r="Q947" s="7">
        <v>44743</v>
      </c>
    </row>
    <row r="948" spans="1:17" hidden="1" x14ac:dyDescent="0.25">
      <c r="A948" t="s">
        <v>386</v>
      </c>
      <c r="B948">
        <v>992121</v>
      </c>
      <c r="D948">
        <v>18</v>
      </c>
      <c r="G948">
        <v>98</v>
      </c>
      <c r="I948" t="s">
        <v>77</v>
      </c>
      <c r="P948" s="7">
        <v>44743</v>
      </c>
      <c r="Q948" s="7">
        <v>44743</v>
      </c>
    </row>
    <row r="949" spans="1:17" x14ac:dyDescent="0.25">
      <c r="A949" t="s">
        <v>474</v>
      </c>
      <c r="B949">
        <v>989899</v>
      </c>
      <c r="D949">
        <v>65</v>
      </c>
      <c r="G949">
        <v>98</v>
      </c>
      <c r="H949">
        <v>80</v>
      </c>
      <c r="I949" t="s">
        <v>304</v>
      </c>
      <c r="J949">
        <v>93</v>
      </c>
      <c r="K949">
        <v>274</v>
      </c>
      <c r="L949" t="str">
        <f t="shared" ref="L949:L950" si="133">IF(K949:K1947&lt;=79,"sweet",IF(K949:K1947&lt;=120,"normal",IF(K949:K1947&lt;=250,"high",IF(K949:K1947&lt;=1000,"very high"))))</f>
        <v>very high</v>
      </c>
      <c r="N949" t="s">
        <v>973</v>
      </c>
      <c r="O949" t="s">
        <v>968</v>
      </c>
      <c r="P949" s="7">
        <v>44713</v>
      </c>
      <c r="Q949" s="7">
        <v>44743</v>
      </c>
    </row>
    <row r="950" spans="1:17" x14ac:dyDescent="0.25">
      <c r="A950" t="s">
        <v>942</v>
      </c>
      <c r="B950">
        <v>983094</v>
      </c>
      <c r="D950">
        <v>45</v>
      </c>
      <c r="G950">
        <v>98</v>
      </c>
      <c r="H950">
        <v>122</v>
      </c>
      <c r="I950" t="s">
        <v>943</v>
      </c>
      <c r="J950">
        <v>99</v>
      </c>
      <c r="K950">
        <v>96</v>
      </c>
      <c r="L950" t="str">
        <f t="shared" si="133"/>
        <v>normal</v>
      </c>
      <c r="N950" t="s">
        <v>973</v>
      </c>
      <c r="O950" t="s">
        <v>977</v>
      </c>
      <c r="P950" s="7">
        <v>44621</v>
      </c>
      <c r="Q950" s="7">
        <v>44743</v>
      </c>
    </row>
    <row r="951" spans="1:17" hidden="1" x14ac:dyDescent="0.25">
      <c r="A951" t="s">
        <v>944</v>
      </c>
      <c r="B951">
        <v>992228</v>
      </c>
      <c r="D951">
        <v>14</v>
      </c>
      <c r="G951">
        <v>98</v>
      </c>
      <c r="H951">
        <v>86</v>
      </c>
      <c r="I951" t="s">
        <v>89</v>
      </c>
      <c r="J951">
        <v>93</v>
      </c>
      <c r="N951" t="s">
        <v>973</v>
      </c>
      <c r="P951" s="7">
        <v>44743</v>
      </c>
      <c r="Q951" s="7">
        <v>44743</v>
      </c>
    </row>
    <row r="952" spans="1:17" x14ac:dyDescent="0.25">
      <c r="A952" t="s">
        <v>945</v>
      </c>
      <c r="B952">
        <v>99313</v>
      </c>
      <c r="D952">
        <v>50</v>
      </c>
      <c r="G952">
        <v>98</v>
      </c>
      <c r="H952">
        <v>74</v>
      </c>
      <c r="I952" t="s">
        <v>245</v>
      </c>
      <c r="J952">
        <v>99</v>
      </c>
      <c r="K952">
        <v>246</v>
      </c>
      <c r="L952" t="str">
        <f>IF(K952:K1950&lt;=79,"sweet",IF(K952:K1950&lt;=120,"normal",IF(K952:K1950&lt;=250,"high",IF(K952:K1950&lt;=1000,"very high"))))</f>
        <v>high</v>
      </c>
      <c r="N952" t="s">
        <v>973</v>
      </c>
      <c r="P952" s="7">
        <v>44743</v>
      </c>
      <c r="Q952" s="7">
        <v>44743</v>
      </c>
    </row>
    <row r="953" spans="1:17" hidden="1" x14ac:dyDescent="0.25">
      <c r="A953" t="s">
        <v>946</v>
      </c>
      <c r="B953">
        <v>993267</v>
      </c>
      <c r="D953">
        <v>74</v>
      </c>
      <c r="G953">
        <v>98</v>
      </c>
      <c r="H953">
        <v>68</v>
      </c>
      <c r="I953" t="s">
        <v>62</v>
      </c>
      <c r="J953">
        <v>86</v>
      </c>
      <c r="N953" t="s">
        <v>973</v>
      </c>
      <c r="P953" s="7">
        <v>44743</v>
      </c>
      <c r="Q953" s="7">
        <v>44743</v>
      </c>
    </row>
    <row r="954" spans="1:17" hidden="1" x14ac:dyDescent="0.25">
      <c r="A954" t="s">
        <v>786</v>
      </c>
      <c r="B954">
        <v>993794</v>
      </c>
      <c r="D954">
        <v>80</v>
      </c>
      <c r="G954">
        <v>98</v>
      </c>
      <c r="K954">
        <v>44</v>
      </c>
      <c r="N954" t="s">
        <v>973</v>
      </c>
      <c r="O954" t="s">
        <v>967</v>
      </c>
      <c r="P954" s="7">
        <v>44743</v>
      </c>
      <c r="Q954" s="7">
        <v>44774</v>
      </c>
    </row>
    <row r="955" spans="1:17" x14ac:dyDescent="0.25">
      <c r="A955" t="s">
        <v>377</v>
      </c>
      <c r="B955">
        <v>993835</v>
      </c>
      <c r="D955">
        <v>68</v>
      </c>
      <c r="G955">
        <v>98</v>
      </c>
      <c r="H955">
        <v>109</v>
      </c>
      <c r="I955" t="s">
        <v>947</v>
      </c>
      <c r="J955">
        <v>98</v>
      </c>
      <c r="K955">
        <v>158</v>
      </c>
      <c r="L955" t="str">
        <f>IF(K955:K1953&lt;=79,"sweet",IF(K955:K1953&lt;=120,"normal",IF(K955:K1953&lt;=250,"high",IF(K955:K1953&lt;=1000,"very high"))))</f>
        <v>high</v>
      </c>
      <c r="N955" t="s">
        <v>973</v>
      </c>
      <c r="O955" t="s">
        <v>968</v>
      </c>
      <c r="P955" s="7">
        <v>44774</v>
      </c>
      <c r="Q955" s="7">
        <v>44774</v>
      </c>
    </row>
    <row r="956" spans="1:17" hidden="1" x14ac:dyDescent="0.25">
      <c r="A956" t="s">
        <v>948</v>
      </c>
      <c r="B956">
        <v>994260</v>
      </c>
      <c r="D956">
        <v>52</v>
      </c>
      <c r="G956">
        <v>98</v>
      </c>
      <c r="J956">
        <v>90</v>
      </c>
      <c r="K956">
        <v>38</v>
      </c>
      <c r="N956" t="s">
        <v>973</v>
      </c>
      <c r="O956" t="s">
        <v>967</v>
      </c>
      <c r="P956" s="7">
        <v>44774</v>
      </c>
      <c r="Q956" s="7">
        <v>44774</v>
      </c>
    </row>
    <row r="957" spans="1:17" x14ac:dyDescent="0.25">
      <c r="A957" t="s">
        <v>949</v>
      </c>
      <c r="B957">
        <v>994528</v>
      </c>
      <c r="D957">
        <v>60</v>
      </c>
      <c r="G957">
        <v>98</v>
      </c>
      <c r="H957">
        <v>120</v>
      </c>
      <c r="I957" t="s">
        <v>74</v>
      </c>
      <c r="J957">
        <v>94</v>
      </c>
      <c r="K957">
        <v>110</v>
      </c>
      <c r="L957" t="str">
        <f t="shared" ref="L957:L958" si="134">IF(K957:K1955&lt;=79,"sweet",IF(K957:K1955&lt;=120,"normal",IF(K957:K1955&lt;=250,"high",IF(K957:K1955&lt;=1000,"very high"))))</f>
        <v>normal</v>
      </c>
      <c r="N957" t="s">
        <v>973</v>
      </c>
      <c r="P957" s="7">
        <v>44774</v>
      </c>
      <c r="Q957" s="7">
        <v>44774</v>
      </c>
    </row>
    <row r="958" spans="1:17" x14ac:dyDescent="0.25">
      <c r="A958" t="s">
        <v>950</v>
      </c>
      <c r="B958">
        <v>986138</v>
      </c>
      <c r="D958">
        <v>22</v>
      </c>
      <c r="G958">
        <v>98</v>
      </c>
      <c r="H958">
        <v>140</v>
      </c>
      <c r="I958" t="s">
        <v>161</v>
      </c>
      <c r="J958">
        <v>98</v>
      </c>
      <c r="K958">
        <v>98</v>
      </c>
      <c r="L958" t="str">
        <f t="shared" si="134"/>
        <v>normal</v>
      </c>
      <c r="N958" t="s">
        <v>973</v>
      </c>
      <c r="O958" t="s">
        <v>977</v>
      </c>
      <c r="P958" s="7">
        <v>44774</v>
      </c>
      <c r="Q958" s="7">
        <v>44774</v>
      </c>
    </row>
    <row r="959" spans="1:17" hidden="1" x14ac:dyDescent="0.25">
      <c r="A959" t="s">
        <v>810</v>
      </c>
      <c r="B959">
        <v>9554621</v>
      </c>
      <c r="G959">
        <v>98</v>
      </c>
      <c r="H959">
        <v>126</v>
      </c>
      <c r="I959" t="s">
        <v>762</v>
      </c>
      <c r="J959">
        <v>96</v>
      </c>
      <c r="N959" t="s">
        <v>973</v>
      </c>
      <c r="P959" s="7">
        <v>44774</v>
      </c>
      <c r="Q959" s="7">
        <v>44805</v>
      </c>
    </row>
    <row r="960" spans="1:17" x14ac:dyDescent="0.25">
      <c r="A960" t="s">
        <v>756</v>
      </c>
      <c r="B960">
        <v>9989845</v>
      </c>
      <c r="D960">
        <v>71</v>
      </c>
      <c r="G960">
        <v>98</v>
      </c>
      <c r="H960">
        <v>89</v>
      </c>
      <c r="I960" t="s">
        <v>430</v>
      </c>
      <c r="J960">
        <v>99</v>
      </c>
      <c r="K960">
        <v>105</v>
      </c>
      <c r="L960" t="str">
        <f t="shared" ref="L960:L961" si="135">IF(K960:K1958&lt;=79,"sweet",IF(K960:K1958&lt;=120,"normal",IF(K960:K1958&lt;=250,"high",IF(K960:K1958&lt;=1000,"very high"))))</f>
        <v>normal</v>
      </c>
      <c r="P960" s="7">
        <v>44774</v>
      </c>
      <c r="Q960" s="7">
        <v>44805</v>
      </c>
    </row>
    <row r="961" spans="1:17" x14ac:dyDescent="0.25">
      <c r="A961" t="s">
        <v>812</v>
      </c>
      <c r="B961">
        <v>9985456</v>
      </c>
      <c r="D961">
        <v>80</v>
      </c>
      <c r="G961">
        <v>98</v>
      </c>
      <c r="H961">
        <v>70</v>
      </c>
      <c r="I961" t="s">
        <v>47</v>
      </c>
      <c r="J961">
        <v>64</v>
      </c>
      <c r="K961">
        <v>307</v>
      </c>
      <c r="L961" t="str">
        <f t="shared" si="135"/>
        <v>very high</v>
      </c>
      <c r="P961" s="7">
        <v>44774</v>
      </c>
      <c r="Q961" s="7">
        <v>44805</v>
      </c>
    </row>
    <row r="962" spans="1:17" hidden="1" x14ac:dyDescent="0.25">
      <c r="A962" t="s">
        <v>815</v>
      </c>
      <c r="B962">
        <v>965123</v>
      </c>
      <c r="D962">
        <v>65</v>
      </c>
      <c r="G962">
        <v>98</v>
      </c>
      <c r="H962">
        <v>80</v>
      </c>
      <c r="I962" t="s">
        <v>92</v>
      </c>
      <c r="J962">
        <v>70</v>
      </c>
      <c r="P962" s="7">
        <v>44774</v>
      </c>
      <c r="Q962" s="7">
        <v>44805</v>
      </c>
    </row>
    <row r="963" spans="1:17" hidden="1" x14ac:dyDescent="0.25">
      <c r="A963" t="s">
        <v>817</v>
      </c>
      <c r="B963">
        <v>956621</v>
      </c>
      <c r="D963">
        <v>65</v>
      </c>
      <c r="G963">
        <v>98</v>
      </c>
      <c r="H963">
        <v>92</v>
      </c>
      <c r="I963" t="s">
        <v>444</v>
      </c>
      <c r="P963" s="7">
        <v>44774</v>
      </c>
      <c r="Q963" s="7">
        <v>44805</v>
      </c>
    </row>
    <row r="964" spans="1:17" x14ac:dyDescent="0.25">
      <c r="A964" t="s">
        <v>818</v>
      </c>
      <c r="B964">
        <v>986545</v>
      </c>
      <c r="D964">
        <v>51</v>
      </c>
      <c r="G964">
        <v>98</v>
      </c>
      <c r="H964">
        <v>100</v>
      </c>
      <c r="I964" t="s">
        <v>708</v>
      </c>
      <c r="J964">
        <v>84</v>
      </c>
      <c r="K964">
        <v>148</v>
      </c>
      <c r="L964" t="str">
        <f t="shared" ref="L964:L965" si="136">IF(K964:K1962&lt;=79,"sweet",IF(K964:K1962&lt;=120,"normal",IF(K964:K1962&lt;=250,"high",IF(K964:K1962&lt;=1000,"very high"))))</f>
        <v>high</v>
      </c>
      <c r="O964" t="s">
        <v>968</v>
      </c>
      <c r="P964" s="7">
        <v>44774</v>
      </c>
      <c r="Q964" s="7">
        <v>44805</v>
      </c>
    </row>
    <row r="965" spans="1:17" x14ac:dyDescent="0.25">
      <c r="A965" t="s">
        <v>819</v>
      </c>
      <c r="B965">
        <v>995452</v>
      </c>
      <c r="D965">
        <v>17</v>
      </c>
      <c r="G965">
        <v>98</v>
      </c>
      <c r="H965">
        <v>104</v>
      </c>
      <c r="I965" t="s">
        <v>710</v>
      </c>
      <c r="J965">
        <v>94</v>
      </c>
      <c r="K965">
        <v>149</v>
      </c>
      <c r="L965" t="str">
        <f t="shared" si="136"/>
        <v>high</v>
      </c>
      <c r="O965" t="s">
        <v>968</v>
      </c>
      <c r="P965" s="7">
        <v>44774</v>
      </c>
      <c r="Q965" s="7">
        <v>44805</v>
      </c>
    </row>
    <row r="966" spans="1:17" hidden="1" x14ac:dyDescent="0.25">
      <c r="A966" t="s">
        <v>795</v>
      </c>
      <c r="B966">
        <v>986123</v>
      </c>
      <c r="D966">
        <v>45</v>
      </c>
      <c r="G966">
        <v>98</v>
      </c>
      <c r="H966">
        <v>140</v>
      </c>
      <c r="I966" t="s">
        <v>296</v>
      </c>
      <c r="J966">
        <v>78</v>
      </c>
      <c r="P966" s="7">
        <v>44774</v>
      </c>
      <c r="Q966" s="7">
        <v>44805</v>
      </c>
    </row>
    <row r="967" spans="1:17" hidden="1" x14ac:dyDescent="0.25">
      <c r="A967" t="s">
        <v>151</v>
      </c>
      <c r="B967">
        <v>998421</v>
      </c>
      <c r="D967">
        <v>70</v>
      </c>
      <c r="G967">
        <v>98</v>
      </c>
      <c r="I967" t="s">
        <v>298</v>
      </c>
      <c r="P967" s="7">
        <v>44805</v>
      </c>
      <c r="Q967" s="7">
        <v>44805</v>
      </c>
    </row>
    <row r="968" spans="1:17" x14ac:dyDescent="0.25">
      <c r="A968" t="s">
        <v>485</v>
      </c>
      <c r="B968">
        <v>985632</v>
      </c>
      <c r="D968">
        <v>86</v>
      </c>
      <c r="G968">
        <v>98</v>
      </c>
      <c r="H968">
        <v>105</v>
      </c>
      <c r="I968" t="s">
        <v>194</v>
      </c>
      <c r="J968">
        <v>99</v>
      </c>
      <c r="K968">
        <v>87</v>
      </c>
      <c r="L968" t="str">
        <f t="shared" ref="L968:L969" si="137">IF(K968:K1966&lt;=79,"sweet",IF(K968:K1966&lt;=120,"normal",IF(K968:K1966&lt;=250,"high",IF(K968:K1966&lt;=1000,"very high"))))</f>
        <v>normal</v>
      </c>
      <c r="O968" t="s">
        <v>977</v>
      </c>
      <c r="P968" s="7">
        <v>44805</v>
      </c>
      <c r="Q968" s="7">
        <v>44805</v>
      </c>
    </row>
    <row r="969" spans="1:17" x14ac:dyDescent="0.25">
      <c r="A969" t="s">
        <v>820</v>
      </c>
      <c r="B969">
        <v>886452</v>
      </c>
      <c r="D969">
        <v>77</v>
      </c>
      <c r="G969">
        <v>98</v>
      </c>
      <c r="H969">
        <v>140</v>
      </c>
      <c r="I969" t="s">
        <v>301</v>
      </c>
      <c r="J969">
        <v>97</v>
      </c>
      <c r="K969">
        <v>197</v>
      </c>
      <c r="L969" t="str">
        <f t="shared" si="137"/>
        <v>high</v>
      </c>
      <c r="N969" t="s">
        <v>973</v>
      </c>
      <c r="P969" s="7">
        <v>44805</v>
      </c>
      <c r="Q969" s="7">
        <v>44805</v>
      </c>
    </row>
    <row r="970" spans="1:17" hidden="1" x14ac:dyDescent="0.25">
      <c r="A970" t="s">
        <v>822</v>
      </c>
      <c r="B970">
        <v>995132</v>
      </c>
      <c r="D970">
        <v>60</v>
      </c>
      <c r="G970">
        <v>98</v>
      </c>
      <c r="H970">
        <v>145</v>
      </c>
      <c r="I970" t="s">
        <v>302</v>
      </c>
      <c r="J970">
        <v>48</v>
      </c>
      <c r="P970" s="7">
        <v>44805</v>
      </c>
      <c r="Q970" s="7">
        <v>44805</v>
      </c>
    </row>
    <row r="971" spans="1:17" x14ac:dyDescent="0.25">
      <c r="A971" t="s">
        <v>822</v>
      </c>
      <c r="B971">
        <v>998432</v>
      </c>
      <c r="D971">
        <v>71</v>
      </c>
      <c r="G971">
        <v>98</v>
      </c>
      <c r="H971">
        <v>116</v>
      </c>
      <c r="I971" t="s">
        <v>711</v>
      </c>
      <c r="J971">
        <v>91</v>
      </c>
      <c r="K971">
        <v>114</v>
      </c>
      <c r="L971" t="str">
        <f>IF(K971:K1969&lt;=79,"sweet",IF(K971:K1969&lt;=120,"normal",IF(K971:K1969&lt;=250,"high",IF(K971:K1969&lt;=1000,"very high"))))</f>
        <v>normal</v>
      </c>
      <c r="O971" t="s">
        <v>977</v>
      </c>
      <c r="P971" s="7">
        <v>44805</v>
      </c>
      <c r="Q971" s="7">
        <v>44805</v>
      </c>
    </row>
    <row r="972" spans="1:17" hidden="1" x14ac:dyDescent="0.25">
      <c r="A972" t="s">
        <v>823</v>
      </c>
      <c r="B972">
        <v>898452</v>
      </c>
      <c r="D972">
        <v>65</v>
      </c>
      <c r="G972">
        <v>98</v>
      </c>
      <c r="H972">
        <v>122</v>
      </c>
      <c r="I972" t="s">
        <v>53</v>
      </c>
      <c r="J972">
        <v>75</v>
      </c>
      <c r="P972" s="7">
        <v>44805</v>
      </c>
      <c r="Q972" s="7">
        <v>44805</v>
      </c>
    </row>
    <row r="973" spans="1:17" hidden="1" x14ac:dyDescent="0.25">
      <c r="A973" t="s">
        <v>825</v>
      </c>
      <c r="B973">
        <v>321585</v>
      </c>
      <c r="D973">
        <v>44</v>
      </c>
      <c r="G973">
        <v>98</v>
      </c>
      <c r="H973">
        <v>96</v>
      </c>
      <c r="P973" s="7">
        <v>44805</v>
      </c>
      <c r="Q973" s="7">
        <v>44805</v>
      </c>
    </row>
    <row r="974" spans="1:17" hidden="1" x14ac:dyDescent="0.25">
      <c r="A974" t="s">
        <v>826</v>
      </c>
      <c r="B974">
        <v>845232</v>
      </c>
      <c r="D974">
        <v>50</v>
      </c>
      <c r="G974">
        <v>98</v>
      </c>
      <c r="H974">
        <v>90</v>
      </c>
      <c r="I974" t="s">
        <v>53</v>
      </c>
      <c r="P974" s="7">
        <v>44805</v>
      </c>
      <c r="Q974" s="7">
        <v>44805</v>
      </c>
    </row>
    <row r="975" spans="1:17" x14ac:dyDescent="0.25">
      <c r="A975" t="s">
        <v>828</v>
      </c>
      <c r="B975">
        <v>787846</v>
      </c>
      <c r="D975">
        <v>38</v>
      </c>
      <c r="G975">
        <v>98</v>
      </c>
      <c r="H975">
        <v>144</v>
      </c>
      <c r="I975" t="s">
        <v>229</v>
      </c>
      <c r="J975">
        <v>99</v>
      </c>
      <c r="K975">
        <v>220</v>
      </c>
      <c r="L975" t="str">
        <f t="shared" ref="L975:L980" si="138">IF(K975:K1973&lt;=79,"sweet",IF(K975:K1973&lt;=120,"normal",IF(K975:K1973&lt;=250,"high",IF(K975:K1973&lt;=1000,"very high"))))</f>
        <v>high</v>
      </c>
      <c r="P975" s="7">
        <v>44805</v>
      </c>
      <c r="Q975" s="7">
        <v>44805</v>
      </c>
    </row>
    <row r="976" spans="1:17" x14ac:dyDescent="0.25">
      <c r="A976" t="s">
        <v>880</v>
      </c>
      <c r="B976">
        <v>953231</v>
      </c>
      <c r="D976">
        <v>80</v>
      </c>
      <c r="G976">
        <v>98</v>
      </c>
      <c r="H976">
        <v>100</v>
      </c>
      <c r="I976" t="s">
        <v>154</v>
      </c>
      <c r="J976">
        <v>58</v>
      </c>
      <c r="K976">
        <v>122</v>
      </c>
      <c r="L976" t="str">
        <f t="shared" si="138"/>
        <v>high</v>
      </c>
      <c r="O976" t="s">
        <v>977</v>
      </c>
      <c r="P976" s="7">
        <v>44805</v>
      </c>
      <c r="Q976" s="7">
        <v>44805</v>
      </c>
    </row>
    <row r="977" spans="1:17" x14ac:dyDescent="0.25">
      <c r="A977" t="s">
        <v>882</v>
      </c>
      <c r="B977">
        <v>784521</v>
      </c>
      <c r="D977">
        <v>45</v>
      </c>
      <c r="G977">
        <v>98</v>
      </c>
      <c r="H977">
        <v>123</v>
      </c>
      <c r="I977" t="s">
        <v>94</v>
      </c>
      <c r="J977">
        <v>83</v>
      </c>
      <c r="K977">
        <v>282</v>
      </c>
      <c r="L977" t="str">
        <f t="shared" si="138"/>
        <v>very high</v>
      </c>
      <c r="O977" t="s">
        <v>977</v>
      </c>
      <c r="P977" s="7">
        <v>44805</v>
      </c>
      <c r="Q977" s="7">
        <v>44805</v>
      </c>
    </row>
    <row r="978" spans="1:17" x14ac:dyDescent="0.25">
      <c r="A978" t="s">
        <v>884</v>
      </c>
      <c r="B978">
        <v>985662</v>
      </c>
      <c r="D978">
        <v>52</v>
      </c>
      <c r="G978">
        <v>98</v>
      </c>
      <c r="H978">
        <v>112</v>
      </c>
      <c r="I978" t="s">
        <v>245</v>
      </c>
      <c r="J978">
        <v>99</v>
      </c>
      <c r="K978">
        <v>182</v>
      </c>
      <c r="L978" t="str">
        <f t="shared" si="138"/>
        <v>high</v>
      </c>
      <c r="P978" s="7">
        <v>44805</v>
      </c>
      <c r="Q978" s="7">
        <v>44805</v>
      </c>
    </row>
    <row r="979" spans="1:17" x14ac:dyDescent="0.25">
      <c r="A979" t="s">
        <v>885</v>
      </c>
      <c r="B979">
        <v>898512</v>
      </c>
      <c r="D979">
        <v>78</v>
      </c>
      <c r="G979">
        <v>98</v>
      </c>
      <c r="H979">
        <v>120</v>
      </c>
      <c r="I979" t="s">
        <v>6</v>
      </c>
      <c r="J979">
        <v>97</v>
      </c>
      <c r="K979">
        <v>461</v>
      </c>
      <c r="L979" t="str">
        <f t="shared" si="138"/>
        <v>very high</v>
      </c>
      <c r="M979" t="s">
        <v>971</v>
      </c>
      <c r="O979" t="s">
        <v>967</v>
      </c>
      <c r="P979" s="7">
        <v>44805</v>
      </c>
      <c r="Q979" s="7">
        <v>44805</v>
      </c>
    </row>
    <row r="980" spans="1:17" x14ac:dyDescent="0.25">
      <c r="A980" t="s">
        <v>886</v>
      </c>
      <c r="B980">
        <v>898112</v>
      </c>
      <c r="D980">
        <v>55</v>
      </c>
      <c r="G980">
        <v>98</v>
      </c>
      <c r="H980">
        <v>109</v>
      </c>
      <c r="I980" t="s">
        <v>236</v>
      </c>
      <c r="J980">
        <v>92</v>
      </c>
      <c r="K980">
        <v>441</v>
      </c>
      <c r="L980" t="str">
        <f t="shared" si="138"/>
        <v>very high</v>
      </c>
      <c r="M980" t="s">
        <v>970</v>
      </c>
      <c r="O980" t="s">
        <v>967</v>
      </c>
      <c r="P980" s="7">
        <v>44805</v>
      </c>
      <c r="Q980" s="7">
        <v>44835</v>
      </c>
    </row>
    <row r="981" spans="1:17" hidden="1" x14ac:dyDescent="0.25">
      <c r="A981" t="s">
        <v>888</v>
      </c>
      <c r="B981">
        <v>898123</v>
      </c>
      <c r="D981">
        <v>80</v>
      </c>
      <c r="G981">
        <v>98</v>
      </c>
      <c r="I981" t="s">
        <v>249</v>
      </c>
      <c r="K981">
        <v>42</v>
      </c>
      <c r="O981" t="s">
        <v>967</v>
      </c>
      <c r="P981" s="7">
        <v>44805</v>
      </c>
      <c r="Q981" s="7">
        <v>44835</v>
      </c>
    </row>
    <row r="982" spans="1:17" hidden="1" x14ac:dyDescent="0.25">
      <c r="A982" t="s">
        <v>889</v>
      </c>
      <c r="B982">
        <v>984521</v>
      </c>
      <c r="D982">
        <v>60</v>
      </c>
      <c r="G982">
        <v>98</v>
      </c>
      <c r="H982">
        <v>79</v>
      </c>
      <c r="I982" t="s">
        <v>194</v>
      </c>
      <c r="J982">
        <v>68</v>
      </c>
      <c r="P982" s="7">
        <v>44805</v>
      </c>
      <c r="Q982" s="7">
        <v>44835</v>
      </c>
    </row>
    <row r="983" spans="1:17" x14ac:dyDescent="0.25">
      <c r="A983" t="s">
        <v>405</v>
      </c>
      <c r="B983">
        <v>885231</v>
      </c>
      <c r="D983">
        <v>65</v>
      </c>
      <c r="G983">
        <v>98</v>
      </c>
      <c r="H983">
        <v>80</v>
      </c>
      <c r="I983" t="s">
        <v>77</v>
      </c>
      <c r="J983">
        <v>55</v>
      </c>
      <c r="K983">
        <v>579</v>
      </c>
      <c r="L983" t="str">
        <f>IF(K983:K1981&lt;=79,"sweet",IF(K983:K1981&lt;=120,"normal",IF(K983:K1981&lt;=250,"high",IF(K983:K1981&lt;=1000,"very high"))))</f>
        <v>very high</v>
      </c>
      <c r="M983" t="s">
        <v>970</v>
      </c>
      <c r="O983" t="s">
        <v>967</v>
      </c>
      <c r="P983" s="7">
        <v>44805</v>
      </c>
      <c r="Q983" s="7">
        <v>44835</v>
      </c>
    </row>
    <row r="984" spans="1:17" hidden="1" x14ac:dyDescent="0.25">
      <c r="A984" t="s">
        <v>892</v>
      </c>
      <c r="B984">
        <v>996551</v>
      </c>
      <c r="G984">
        <v>98</v>
      </c>
      <c r="H984">
        <v>110</v>
      </c>
      <c r="I984" t="s">
        <v>68</v>
      </c>
      <c r="J984">
        <v>60</v>
      </c>
      <c r="P984" s="7">
        <v>44805</v>
      </c>
      <c r="Q984" s="7">
        <v>44835</v>
      </c>
    </row>
    <row r="985" spans="1:17" x14ac:dyDescent="0.25">
      <c r="A985" t="s">
        <v>894</v>
      </c>
      <c r="B985">
        <v>898412</v>
      </c>
      <c r="D985">
        <v>21</v>
      </c>
      <c r="G985">
        <v>98</v>
      </c>
      <c r="H985">
        <v>118</v>
      </c>
      <c r="I985" t="s">
        <v>96</v>
      </c>
      <c r="J985">
        <v>94</v>
      </c>
      <c r="K985">
        <v>159</v>
      </c>
      <c r="L985" t="str">
        <f t="shared" ref="L985:L988" si="139">IF(K985:K1983&lt;=79,"sweet",IF(K985:K1983&lt;=120,"normal",IF(K985:K1983&lt;=250,"high",IF(K985:K1983&lt;=1000,"very high"))))</f>
        <v>high</v>
      </c>
      <c r="M985" t="s">
        <v>971</v>
      </c>
      <c r="O985" t="s">
        <v>968</v>
      </c>
      <c r="P985" s="7">
        <v>44805</v>
      </c>
      <c r="Q985" s="7">
        <v>44835</v>
      </c>
    </row>
    <row r="986" spans="1:17" x14ac:dyDescent="0.25">
      <c r="A986" t="s">
        <v>895</v>
      </c>
      <c r="B986">
        <v>898452</v>
      </c>
      <c r="D986">
        <v>45</v>
      </c>
      <c r="G986">
        <v>98</v>
      </c>
      <c r="H986">
        <v>78</v>
      </c>
      <c r="I986" t="s">
        <v>194</v>
      </c>
      <c r="J986">
        <v>99</v>
      </c>
      <c r="K986">
        <v>166</v>
      </c>
      <c r="L986" t="str">
        <f t="shared" si="139"/>
        <v>high</v>
      </c>
      <c r="O986" t="s">
        <v>968</v>
      </c>
      <c r="P986" s="7">
        <v>44805</v>
      </c>
      <c r="Q986" s="7">
        <v>44835</v>
      </c>
    </row>
    <row r="987" spans="1:17" x14ac:dyDescent="0.25">
      <c r="A987" t="s">
        <v>897</v>
      </c>
      <c r="B987">
        <v>996647</v>
      </c>
      <c r="D987">
        <v>23</v>
      </c>
      <c r="G987">
        <v>98</v>
      </c>
      <c r="H987">
        <v>96</v>
      </c>
      <c r="I987" t="s">
        <v>245</v>
      </c>
      <c r="J987">
        <v>75</v>
      </c>
      <c r="K987">
        <v>104</v>
      </c>
      <c r="L987" t="str">
        <f t="shared" si="139"/>
        <v>normal</v>
      </c>
      <c r="O987" t="s">
        <v>968</v>
      </c>
      <c r="P987" s="7">
        <v>44805</v>
      </c>
      <c r="Q987" s="7">
        <v>44835</v>
      </c>
    </row>
    <row r="988" spans="1:17" x14ac:dyDescent="0.25">
      <c r="A988" t="s">
        <v>898</v>
      </c>
      <c r="B988">
        <v>898556</v>
      </c>
      <c r="D988">
        <v>50</v>
      </c>
      <c r="G988">
        <v>98</v>
      </c>
      <c r="H988">
        <v>126</v>
      </c>
      <c r="I988" t="s">
        <v>62</v>
      </c>
      <c r="J988">
        <v>88</v>
      </c>
      <c r="K988">
        <v>229</v>
      </c>
      <c r="L988" t="str">
        <f t="shared" si="139"/>
        <v>high</v>
      </c>
      <c r="N988" t="s">
        <v>972</v>
      </c>
      <c r="O988" t="s">
        <v>968</v>
      </c>
      <c r="P988" s="7">
        <v>44805</v>
      </c>
      <c r="Q988" s="7">
        <v>44835</v>
      </c>
    </row>
    <row r="989" spans="1:17" hidden="1" x14ac:dyDescent="0.25">
      <c r="A989" t="s">
        <v>900</v>
      </c>
      <c r="B989">
        <v>984654</v>
      </c>
      <c r="G989">
        <v>98</v>
      </c>
      <c r="H989">
        <v>89</v>
      </c>
      <c r="I989" t="s">
        <v>6</v>
      </c>
      <c r="J989">
        <v>80</v>
      </c>
      <c r="P989" s="7">
        <v>44835</v>
      </c>
      <c r="Q989" s="7">
        <v>44835</v>
      </c>
    </row>
    <row r="990" spans="1:17" x14ac:dyDescent="0.25">
      <c r="A990" t="s">
        <v>902</v>
      </c>
      <c r="B990">
        <v>885464</v>
      </c>
      <c r="D990">
        <v>62</v>
      </c>
      <c r="G990">
        <v>98</v>
      </c>
      <c r="H990">
        <v>70</v>
      </c>
      <c r="I990" t="s">
        <v>249</v>
      </c>
      <c r="J990">
        <v>56</v>
      </c>
      <c r="K990">
        <v>154</v>
      </c>
      <c r="L990" t="str">
        <f>IF(K990:K1988&lt;=79,"sweet",IF(K990:K1988&lt;=120,"normal",IF(K990:K1988&lt;=250,"high",IF(K990:K1988&lt;=1000,"very high"))))</f>
        <v>high</v>
      </c>
      <c r="O990" t="s">
        <v>968</v>
      </c>
      <c r="P990" s="7">
        <v>44835</v>
      </c>
      <c r="Q990" s="7">
        <v>44835</v>
      </c>
    </row>
    <row r="991" spans="1:17" hidden="1" x14ac:dyDescent="0.25">
      <c r="A991" t="s">
        <v>220</v>
      </c>
      <c r="B991">
        <v>998454</v>
      </c>
      <c r="G991">
        <v>98</v>
      </c>
      <c r="H991">
        <v>80</v>
      </c>
      <c r="I991" t="s">
        <v>194</v>
      </c>
      <c r="J991">
        <v>92</v>
      </c>
      <c r="K991">
        <v>58</v>
      </c>
      <c r="O991" t="s">
        <v>968</v>
      </c>
      <c r="P991" s="7">
        <v>44835</v>
      </c>
      <c r="Q991" s="7">
        <v>44835</v>
      </c>
    </row>
    <row r="992" spans="1:17" hidden="1" x14ac:dyDescent="0.25">
      <c r="A992" t="s">
        <v>903</v>
      </c>
      <c r="B992">
        <v>787456</v>
      </c>
      <c r="G992">
        <v>98</v>
      </c>
      <c r="H992">
        <v>92</v>
      </c>
      <c r="I992" t="s">
        <v>77</v>
      </c>
      <c r="J992">
        <v>96</v>
      </c>
      <c r="P992" s="7">
        <v>44835</v>
      </c>
      <c r="Q992" s="7">
        <v>44835</v>
      </c>
    </row>
    <row r="993" spans="1:17" hidden="1" x14ac:dyDescent="0.25">
      <c r="A993" t="s">
        <v>336</v>
      </c>
      <c r="B993">
        <v>785663</v>
      </c>
      <c r="G993">
        <v>98</v>
      </c>
      <c r="H993">
        <v>100</v>
      </c>
      <c r="I993" t="s">
        <v>68</v>
      </c>
      <c r="J993">
        <v>90</v>
      </c>
      <c r="P993" s="7">
        <v>44835</v>
      </c>
      <c r="Q993" s="7">
        <v>44835</v>
      </c>
    </row>
    <row r="994" spans="1:17" hidden="1" x14ac:dyDescent="0.25">
      <c r="A994" t="s">
        <v>907</v>
      </c>
      <c r="B994">
        <v>321878</v>
      </c>
      <c r="G994">
        <v>98</v>
      </c>
      <c r="H994">
        <v>54</v>
      </c>
      <c r="I994" t="s">
        <v>96</v>
      </c>
      <c r="P994" s="7">
        <v>44835</v>
      </c>
      <c r="Q994" s="7">
        <v>44835</v>
      </c>
    </row>
    <row r="995" spans="1:17" hidden="1" x14ac:dyDescent="0.25">
      <c r="A995" t="s">
        <v>822</v>
      </c>
      <c r="B995">
        <v>345467</v>
      </c>
      <c r="G995">
        <v>98</v>
      </c>
      <c r="H995">
        <v>84</v>
      </c>
      <c r="I995" t="s">
        <v>194</v>
      </c>
      <c r="J995">
        <v>75</v>
      </c>
      <c r="K995">
        <v>75</v>
      </c>
      <c r="O995" t="s">
        <v>968</v>
      </c>
      <c r="P995" s="7">
        <v>44835</v>
      </c>
      <c r="Q995" s="7">
        <v>44835</v>
      </c>
    </row>
    <row r="996" spans="1:17" hidden="1" x14ac:dyDescent="0.25">
      <c r="A996" t="s">
        <v>822</v>
      </c>
      <c r="B996">
        <v>348988</v>
      </c>
      <c r="G996">
        <v>98</v>
      </c>
      <c r="H996">
        <v>65</v>
      </c>
      <c r="I996" t="s">
        <v>301</v>
      </c>
      <c r="J996">
        <v>90</v>
      </c>
      <c r="K996">
        <v>34</v>
      </c>
      <c r="O996" t="s">
        <v>967</v>
      </c>
      <c r="P996" s="7">
        <v>44835</v>
      </c>
      <c r="Q996" s="7">
        <v>44835</v>
      </c>
    </row>
    <row r="997" spans="1:17" hidden="1" x14ac:dyDescent="0.25">
      <c r="A997" t="s">
        <v>823</v>
      </c>
      <c r="B997">
        <v>854662</v>
      </c>
      <c r="G997">
        <v>98</v>
      </c>
      <c r="H997">
        <v>95</v>
      </c>
      <c r="I997" t="s">
        <v>302</v>
      </c>
      <c r="P997" s="7">
        <v>44835</v>
      </c>
      <c r="Q997" s="7">
        <v>44835</v>
      </c>
    </row>
    <row r="998" spans="1:17" x14ac:dyDescent="0.25">
      <c r="A998" t="s">
        <v>825</v>
      </c>
      <c r="B998">
        <v>235498</v>
      </c>
      <c r="D998">
        <v>70</v>
      </c>
      <c r="G998">
        <v>98</v>
      </c>
      <c r="H998">
        <v>90</v>
      </c>
      <c r="I998" t="s">
        <v>711</v>
      </c>
      <c r="J998">
        <v>91</v>
      </c>
      <c r="K998">
        <v>100</v>
      </c>
      <c r="L998" t="str">
        <f t="shared" ref="L998:L999" si="140">IF(K998:K1996&lt;=79,"sweet",IF(K998:K1996&lt;=120,"normal",IF(K998:K1996&lt;=250,"high",IF(K998:K1996&lt;=1000,"very high"))))</f>
        <v>normal</v>
      </c>
      <c r="O998" t="s">
        <v>977</v>
      </c>
      <c r="P998" s="7">
        <v>44835</v>
      </c>
      <c r="Q998" s="7">
        <v>44835</v>
      </c>
    </row>
    <row r="999" spans="1:17" x14ac:dyDescent="0.25">
      <c r="A999" t="s">
        <v>826</v>
      </c>
      <c r="B999">
        <v>235498</v>
      </c>
      <c r="D999">
        <v>75</v>
      </c>
      <c r="G999">
        <v>98</v>
      </c>
      <c r="H999">
        <v>90</v>
      </c>
      <c r="I999" t="s">
        <v>245</v>
      </c>
      <c r="J999">
        <v>92</v>
      </c>
      <c r="K999">
        <v>124</v>
      </c>
      <c r="L999" t="str">
        <f t="shared" si="140"/>
        <v>high</v>
      </c>
      <c r="O999" t="s">
        <v>977</v>
      </c>
      <c r="P999" s="7">
        <v>44835</v>
      </c>
      <c r="Q999" s="7">
        <v>44835</v>
      </c>
    </row>
    <row r="1000" spans="1:17" hidden="1" x14ac:dyDescent="0.25">
      <c r="A1000" t="s">
        <v>828</v>
      </c>
      <c r="B1000">
        <v>545878</v>
      </c>
      <c r="G1000">
        <v>98</v>
      </c>
      <c r="H1000">
        <v>40</v>
      </c>
      <c r="I1000" t="s">
        <v>304</v>
      </c>
      <c r="J1000">
        <v>93</v>
      </c>
      <c r="O1000" t="s">
        <v>977</v>
      </c>
      <c r="P1000" s="7">
        <v>44835</v>
      </c>
      <c r="Q1000" s="7">
        <v>44835</v>
      </c>
    </row>
    <row r="1001" spans="1:17" x14ac:dyDescent="0.25">
      <c r="A1001" t="s">
        <v>749</v>
      </c>
      <c r="B1001">
        <v>3566855</v>
      </c>
      <c r="D1001">
        <v>46</v>
      </c>
      <c r="G1001">
        <v>98</v>
      </c>
      <c r="H1001">
        <v>84</v>
      </c>
      <c r="I1001" t="s">
        <v>194</v>
      </c>
      <c r="J1001">
        <v>102</v>
      </c>
      <c r="K1001">
        <v>317</v>
      </c>
      <c r="L1001" t="s">
        <v>982</v>
      </c>
      <c r="P1001" s="7" t="s">
        <v>766</v>
      </c>
      <c r="Q1001" s="7" t="s">
        <v>766</v>
      </c>
    </row>
    <row r="1002" spans="1:17" x14ac:dyDescent="0.25">
      <c r="A1002" t="s">
        <v>750</v>
      </c>
      <c r="B1002">
        <v>4568876</v>
      </c>
      <c r="D1002">
        <v>60</v>
      </c>
      <c r="G1002">
        <v>98</v>
      </c>
      <c r="H1002">
        <v>65</v>
      </c>
      <c r="I1002" t="s">
        <v>301</v>
      </c>
      <c r="J1002">
        <v>24</v>
      </c>
      <c r="K1002">
        <v>152</v>
      </c>
      <c r="L1002" t="s">
        <v>983</v>
      </c>
      <c r="P1002" s="7" t="s">
        <v>766</v>
      </c>
      <c r="Q1002" s="7" t="s">
        <v>766</v>
      </c>
    </row>
    <row r="1003" spans="1:17" x14ac:dyDescent="0.25">
      <c r="A1003" t="s">
        <v>661</v>
      </c>
      <c r="B1003">
        <v>4457778</v>
      </c>
      <c r="D1003">
        <v>71</v>
      </c>
      <c r="G1003">
        <v>98</v>
      </c>
      <c r="H1003">
        <v>95</v>
      </c>
      <c r="I1003" t="s">
        <v>302</v>
      </c>
      <c r="J1003">
        <v>98</v>
      </c>
      <c r="K1003">
        <v>82</v>
      </c>
      <c r="L1003" t="s">
        <v>973</v>
      </c>
      <c r="P1003" s="7" t="s">
        <v>766</v>
      </c>
      <c r="Q1003" s="7" t="s">
        <v>766</v>
      </c>
    </row>
    <row r="1004" spans="1:17" x14ac:dyDescent="0.25">
      <c r="A1004" t="s">
        <v>752</v>
      </c>
      <c r="B1004">
        <v>1314545</v>
      </c>
      <c r="D1004">
        <v>65</v>
      </c>
      <c r="G1004">
        <v>98</v>
      </c>
      <c r="H1004">
        <v>90</v>
      </c>
      <c r="I1004" t="s">
        <v>711</v>
      </c>
      <c r="J1004">
        <v>80</v>
      </c>
      <c r="K1004">
        <v>273</v>
      </c>
      <c r="L1004" t="s">
        <v>982</v>
      </c>
      <c r="P1004" s="7" t="s">
        <v>766</v>
      </c>
      <c r="Q1004" s="7" t="s">
        <v>766</v>
      </c>
    </row>
    <row r="1005" spans="1:17" x14ac:dyDescent="0.25">
      <c r="A1005" t="s">
        <v>744</v>
      </c>
      <c r="B1005">
        <v>7856465</v>
      </c>
      <c r="D1005">
        <v>64</v>
      </c>
      <c r="G1005">
        <v>98</v>
      </c>
      <c r="H1005">
        <v>90</v>
      </c>
      <c r="I1005" t="s">
        <v>194</v>
      </c>
      <c r="J1005">
        <v>85</v>
      </c>
      <c r="K1005">
        <v>352</v>
      </c>
      <c r="L1005" t="s">
        <v>982</v>
      </c>
      <c r="P1005" s="7" t="s">
        <v>766</v>
      </c>
      <c r="Q1005" s="7" t="s">
        <v>766</v>
      </c>
    </row>
    <row r="1006" spans="1:17" x14ac:dyDescent="0.25">
      <c r="A1006" t="s">
        <v>339</v>
      </c>
      <c r="B1006">
        <v>3455546</v>
      </c>
      <c r="D1006">
        <v>44</v>
      </c>
      <c r="G1006">
        <v>98</v>
      </c>
      <c r="H1006">
        <v>40</v>
      </c>
      <c r="I1006" t="s">
        <v>304</v>
      </c>
      <c r="J1006">
        <v>81</v>
      </c>
      <c r="K1006">
        <v>120</v>
      </c>
      <c r="L1006" t="s">
        <v>973</v>
      </c>
      <c r="P1006" s="7" t="s">
        <v>766</v>
      </c>
      <c r="Q1006" s="7" t="s">
        <v>766</v>
      </c>
    </row>
    <row r="1007" spans="1:17" x14ac:dyDescent="0.25">
      <c r="A1007" t="s">
        <v>349</v>
      </c>
      <c r="B1007">
        <v>9562123</v>
      </c>
      <c r="D1007">
        <v>45</v>
      </c>
      <c r="G1007">
        <v>98</v>
      </c>
      <c r="H1007">
        <v>120</v>
      </c>
      <c r="I1007" t="s">
        <v>6</v>
      </c>
      <c r="J1007">
        <v>99</v>
      </c>
      <c r="K1007">
        <v>81</v>
      </c>
      <c r="L1007" t="s">
        <v>973</v>
      </c>
      <c r="N1007" t="s">
        <v>976</v>
      </c>
      <c r="P1007" s="7" t="s">
        <v>766</v>
      </c>
      <c r="Q1007" s="7" t="s">
        <v>767</v>
      </c>
    </row>
    <row r="1008" spans="1:17" x14ac:dyDescent="0.25">
      <c r="A1008" t="s">
        <v>350</v>
      </c>
      <c r="B1008">
        <v>3356485</v>
      </c>
      <c r="D1008">
        <v>30</v>
      </c>
      <c r="G1008">
        <v>98</v>
      </c>
      <c r="H1008">
        <v>109</v>
      </c>
      <c r="I1008" t="s">
        <v>236</v>
      </c>
      <c r="J1008">
        <v>83</v>
      </c>
      <c r="K1008">
        <v>82</v>
      </c>
      <c r="L1008" t="s">
        <v>973</v>
      </c>
      <c r="P1008" s="7" t="s">
        <v>766</v>
      </c>
      <c r="Q1008" s="7" t="s">
        <v>767</v>
      </c>
    </row>
    <row r="1009" spans="1:17" x14ac:dyDescent="0.25">
      <c r="A1009" t="s">
        <v>138</v>
      </c>
      <c r="B1009">
        <v>3365895</v>
      </c>
      <c r="D1009">
        <v>76</v>
      </c>
      <c r="G1009">
        <v>98</v>
      </c>
      <c r="H1009">
        <v>95</v>
      </c>
      <c r="I1009" t="s">
        <v>249</v>
      </c>
      <c r="J1009">
        <v>99</v>
      </c>
      <c r="K1009">
        <v>120</v>
      </c>
      <c r="L1009" t="s">
        <v>973</v>
      </c>
      <c r="P1009" s="7" t="s">
        <v>767</v>
      </c>
      <c r="Q1009" s="7" t="s">
        <v>767</v>
      </c>
    </row>
    <row r="1010" spans="1:17" x14ac:dyDescent="0.25">
      <c r="A1010" t="s">
        <v>139</v>
      </c>
      <c r="B1010">
        <v>3345695</v>
      </c>
      <c r="D1010">
        <v>65</v>
      </c>
      <c r="G1010">
        <v>98</v>
      </c>
      <c r="H1010">
        <v>79</v>
      </c>
      <c r="I1010" t="s">
        <v>194</v>
      </c>
      <c r="J1010">
        <v>99</v>
      </c>
      <c r="K1010">
        <v>120</v>
      </c>
      <c r="L1010" t="s">
        <v>973</v>
      </c>
      <c r="P1010" s="7" t="s">
        <v>767</v>
      </c>
      <c r="Q1010" s="7" t="s">
        <v>767</v>
      </c>
    </row>
    <row r="1011" spans="1:17" x14ac:dyDescent="0.25">
      <c r="A1011" t="s">
        <v>140</v>
      </c>
      <c r="B1011">
        <v>3344659</v>
      </c>
      <c r="D1011">
        <v>19</v>
      </c>
      <c r="G1011">
        <v>98</v>
      </c>
      <c r="H1011">
        <v>80</v>
      </c>
      <c r="I1011" t="s">
        <v>77</v>
      </c>
      <c r="J1011">
        <v>90</v>
      </c>
      <c r="K1011">
        <v>168</v>
      </c>
      <c r="L1011" t="s">
        <v>983</v>
      </c>
      <c r="P1011" s="7" t="s">
        <v>767</v>
      </c>
      <c r="Q1011" s="7" t="s">
        <v>767</v>
      </c>
    </row>
    <row r="1012" spans="1:17" x14ac:dyDescent="0.25">
      <c r="A1012" t="s">
        <v>141</v>
      </c>
      <c r="B1012">
        <v>4459578</v>
      </c>
      <c r="D1012">
        <v>52</v>
      </c>
      <c r="G1012">
        <v>98</v>
      </c>
      <c r="H1012">
        <v>110</v>
      </c>
      <c r="I1012" t="s">
        <v>68</v>
      </c>
      <c r="J1012">
        <v>99</v>
      </c>
      <c r="K1012">
        <v>88</v>
      </c>
      <c r="L1012" t="s">
        <v>973</v>
      </c>
      <c r="P1012" s="7" t="s">
        <v>767</v>
      </c>
      <c r="Q1012" s="7" t="s">
        <v>767</v>
      </c>
    </row>
    <row r="1013" spans="1:17" x14ac:dyDescent="0.25">
      <c r="A1013" t="s">
        <v>143</v>
      </c>
      <c r="B1013">
        <v>6688655</v>
      </c>
      <c r="D1013">
        <v>90</v>
      </c>
      <c r="G1013">
        <v>98</v>
      </c>
      <c r="H1013">
        <v>69</v>
      </c>
      <c r="I1013" t="s">
        <v>96</v>
      </c>
      <c r="J1013">
        <v>91</v>
      </c>
      <c r="K1013">
        <v>130</v>
      </c>
      <c r="L1013" t="s">
        <v>983</v>
      </c>
      <c r="P1013" s="7" t="s">
        <v>767</v>
      </c>
      <c r="Q1013" s="7" t="s">
        <v>767</v>
      </c>
    </row>
    <row r="1014" spans="1:17" x14ac:dyDescent="0.25">
      <c r="A1014" t="s">
        <v>144</v>
      </c>
      <c r="B1014">
        <v>9865623</v>
      </c>
      <c r="D1014">
        <v>78</v>
      </c>
      <c r="G1014">
        <v>98</v>
      </c>
      <c r="H1014">
        <v>78</v>
      </c>
      <c r="I1014" t="s">
        <v>194</v>
      </c>
      <c r="J1014">
        <v>99</v>
      </c>
      <c r="K1014">
        <v>197</v>
      </c>
      <c r="L1014" t="s">
        <v>983</v>
      </c>
      <c r="N1014" t="s">
        <v>972</v>
      </c>
      <c r="P1014" s="7" t="s">
        <v>767</v>
      </c>
      <c r="Q1014" s="7" t="s">
        <v>767</v>
      </c>
    </row>
    <row r="1015" spans="1:17" x14ac:dyDescent="0.25">
      <c r="A1015" t="s">
        <v>146</v>
      </c>
      <c r="B1015">
        <v>4587875</v>
      </c>
      <c r="D1015">
        <v>55</v>
      </c>
      <c r="G1015">
        <v>98</v>
      </c>
      <c r="H1015">
        <v>34</v>
      </c>
      <c r="I1015" t="s">
        <v>301</v>
      </c>
      <c r="J1015">
        <v>90</v>
      </c>
      <c r="K1015">
        <v>161</v>
      </c>
      <c r="L1015" t="s">
        <v>983</v>
      </c>
      <c r="P1015" s="7" t="s">
        <v>767</v>
      </c>
      <c r="Q1015" s="7" t="s">
        <v>767</v>
      </c>
    </row>
    <row r="1016" spans="1:17" x14ac:dyDescent="0.25">
      <c r="A1016" t="s">
        <v>148</v>
      </c>
      <c r="B1016">
        <v>9665555</v>
      </c>
      <c r="D1016">
        <v>71</v>
      </c>
      <c r="G1016">
        <v>98</v>
      </c>
      <c r="H1016">
        <v>62</v>
      </c>
      <c r="I1016" t="s">
        <v>302</v>
      </c>
      <c r="J1016">
        <v>85</v>
      </c>
      <c r="K1016">
        <v>551</v>
      </c>
      <c r="L1016" t="s">
        <v>982</v>
      </c>
      <c r="N1016" t="s">
        <v>974</v>
      </c>
      <c r="P1016" s="7" t="s">
        <v>767</v>
      </c>
      <c r="Q1016" s="7" t="s">
        <v>767</v>
      </c>
    </row>
    <row r="1017" spans="1:17" x14ac:dyDescent="0.25">
      <c r="A1017" t="s">
        <v>150</v>
      </c>
      <c r="B1017">
        <v>7879875</v>
      </c>
      <c r="D1017">
        <v>30</v>
      </c>
      <c r="G1017">
        <v>98</v>
      </c>
      <c r="H1017">
        <v>96</v>
      </c>
      <c r="I1017" t="s">
        <v>833</v>
      </c>
      <c r="J1017">
        <v>95</v>
      </c>
      <c r="K1017">
        <v>166</v>
      </c>
      <c r="L1017" t="s">
        <v>983</v>
      </c>
      <c r="P1017" s="7" t="s">
        <v>767</v>
      </c>
      <c r="Q1017" s="7" t="s">
        <v>767</v>
      </c>
    </row>
    <row r="1018" spans="1:17" x14ac:dyDescent="0.25">
      <c r="A1018" t="s">
        <v>153</v>
      </c>
      <c r="B1018">
        <v>8558565</v>
      </c>
      <c r="D1018">
        <v>19</v>
      </c>
      <c r="G1018">
        <v>98</v>
      </c>
      <c r="H1018">
        <v>70</v>
      </c>
      <c r="I1018" t="s">
        <v>49</v>
      </c>
      <c r="J1018">
        <v>100</v>
      </c>
      <c r="K1018">
        <v>128</v>
      </c>
      <c r="L1018" t="s">
        <v>983</v>
      </c>
      <c r="P1018" s="7" t="s">
        <v>767</v>
      </c>
      <c r="Q1018" s="7" t="s">
        <v>768</v>
      </c>
    </row>
    <row r="1019" spans="1:17" x14ac:dyDescent="0.25">
      <c r="A1019" t="s">
        <v>48</v>
      </c>
      <c r="B1019">
        <v>7878545</v>
      </c>
      <c r="D1019">
        <v>52</v>
      </c>
      <c r="G1019">
        <v>98</v>
      </c>
      <c r="H1019">
        <v>80</v>
      </c>
      <c r="I1019" t="s">
        <v>6</v>
      </c>
      <c r="J1019">
        <v>99</v>
      </c>
      <c r="K1019">
        <v>214</v>
      </c>
      <c r="L1019" t="s">
        <v>983</v>
      </c>
      <c r="P1019" s="7" t="s">
        <v>767</v>
      </c>
      <c r="Q1019" s="7" t="s">
        <v>768</v>
      </c>
    </row>
    <row r="1020" spans="1:17" x14ac:dyDescent="0.25">
      <c r="A1020" t="s">
        <v>412</v>
      </c>
      <c r="B1020">
        <v>9357630</v>
      </c>
      <c r="D1020">
        <v>70</v>
      </c>
      <c r="G1020">
        <v>98</v>
      </c>
      <c r="H1020">
        <v>88</v>
      </c>
      <c r="I1020" t="s">
        <v>120</v>
      </c>
      <c r="J1020">
        <v>68</v>
      </c>
      <c r="K1020">
        <v>138</v>
      </c>
      <c r="L1020" t="s">
        <v>983</v>
      </c>
      <c r="O1020" t="s">
        <v>967</v>
      </c>
      <c r="P1020" s="7" t="s">
        <v>408</v>
      </c>
      <c r="Q1020" s="7" t="s">
        <v>408</v>
      </c>
    </row>
    <row r="1021" spans="1:17" x14ac:dyDescent="0.25">
      <c r="A1021" t="s">
        <v>413</v>
      </c>
      <c r="B1021">
        <v>9336189</v>
      </c>
      <c r="D1021">
        <v>25</v>
      </c>
      <c r="G1021">
        <v>98</v>
      </c>
      <c r="H1021">
        <v>142</v>
      </c>
      <c r="I1021" t="s">
        <v>414</v>
      </c>
      <c r="J1021">
        <v>89</v>
      </c>
      <c r="K1021">
        <v>172</v>
      </c>
      <c r="L1021" t="s">
        <v>983</v>
      </c>
      <c r="P1021" s="7" t="s">
        <v>408</v>
      </c>
      <c r="Q1021" s="7" t="s">
        <v>408</v>
      </c>
    </row>
    <row r="1022" spans="1:17" x14ac:dyDescent="0.25">
      <c r="A1022" t="s">
        <v>341</v>
      </c>
      <c r="B1022">
        <v>9357864</v>
      </c>
      <c r="D1022">
        <v>50</v>
      </c>
      <c r="G1022">
        <v>98</v>
      </c>
      <c r="H1022">
        <v>100</v>
      </c>
      <c r="I1022" t="s">
        <v>6</v>
      </c>
      <c r="J1022">
        <v>90</v>
      </c>
      <c r="K1022">
        <v>90</v>
      </c>
      <c r="L1022" t="s">
        <v>973</v>
      </c>
      <c r="N1022" t="s">
        <v>973</v>
      </c>
      <c r="P1022" s="7" t="s">
        <v>408</v>
      </c>
      <c r="Q1022" s="7" t="s">
        <v>408</v>
      </c>
    </row>
    <row r="1023" spans="1:17" x14ac:dyDescent="0.25">
      <c r="A1023" t="s">
        <v>415</v>
      </c>
      <c r="B1023">
        <v>9335884</v>
      </c>
      <c r="D1023">
        <v>70</v>
      </c>
      <c r="G1023">
        <v>98</v>
      </c>
      <c r="H1023">
        <v>88</v>
      </c>
      <c r="I1023" t="s">
        <v>43</v>
      </c>
      <c r="J1023">
        <v>74</v>
      </c>
      <c r="K1023">
        <v>92</v>
      </c>
      <c r="L1023" t="s">
        <v>973</v>
      </c>
      <c r="N1023" t="s">
        <v>973</v>
      </c>
      <c r="P1023" s="7" t="s">
        <v>408</v>
      </c>
      <c r="Q1023" s="7" t="s">
        <v>408</v>
      </c>
    </row>
    <row r="1024" spans="1:17" x14ac:dyDescent="0.25">
      <c r="A1024" t="s">
        <v>416</v>
      </c>
      <c r="B1024">
        <v>9358578</v>
      </c>
      <c r="D1024">
        <v>60</v>
      </c>
      <c r="G1024">
        <v>98</v>
      </c>
      <c r="H1024">
        <v>100</v>
      </c>
      <c r="I1024" t="s">
        <v>6</v>
      </c>
      <c r="J1024">
        <v>96</v>
      </c>
      <c r="K1024">
        <v>381</v>
      </c>
      <c r="L1024" t="s">
        <v>982</v>
      </c>
      <c r="P1024" s="7" t="s">
        <v>408</v>
      </c>
      <c r="Q1024" s="7" t="s">
        <v>246</v>
      </c>
    </row>
    <row r="1025" spans="1:17" x14ac:dyDescent="0.25">
      <c r="A1025" t="s">
        <v>417</v>
      </c>
      <c r="B1025">
        <v>93761051</v>
      </c>
      <c r="D1025">
        <v>32</v>
      </c>
      <c r="G1025">
        <v>98</v>
      </c>
      <c r="H1025">
        <v>68</v>
      </c>
      <c r="I1025" t="s">
        <v>154</v>
      </c>
      <c r="J1025">
        <v>65</v>
      </c>
      <c r="K1025">
        <v>101</v>
      </c>
      <c r="L1025" t="s">
        <v>973</v>
      </c>
      <c r="O1025" t="s">
        <v>968</v>
      </c>
      <c r="P1025" s="7" t="s">
        <v>246</v>
      </c>
      <c r="Q1025" s="7" t="s">
        <v>246</v>
      </c>
    </row>
    <row r="1026" spans="1:17" x14ac:dyDescent="0.25">
      <c r="A1026" t="s">
        <v>418</v>
      </c>
      <c r="B1026">
        <v>9334361</v>
      </c>
      <c r="D1026">
        <v>61</v>
      </c>
      <c r="G1026">
        <v>98</v>
      </c>
      <c r="H1026">
        <v>63</v>
      </c>
      <c r="I1026" t="s">
        <v>419</v>
      </c>
      <c r="J1026">
        <v>98</v>
      </c>
      <c r="K1026">
        <v>143</v>
      </c>
      <c r="L1026" t="s">
        <v>983</v>
      </c>
      <c r="P1026" s="7" t="s">
        <v>246</v>
      </c>
      <c r="Q1026" s="7" t="s">
        <v>246</v>
      </c>
    </row>
    <row r="1027" spans="1:17" x14ac:dyDescent="0.25">
      <c r="A1027" t="s">
        <v>421</v>
      </c>
      <c r="B1027">
        <v>94325181</v>
      </c>
      <c r="D1027">
        <v>55</v>
      </c>
      <c r="G1027">
        <v>98</v>
      </c>
      <c r="H1027">
        <v>60</v>
      </c>
      <c r="I1027" t="s">
        <v>154</v>
      </c>
      <c r="J1027">
        <v>82</v>
      </c>
      <c r="K1027">
        <v>123</v>
      </c>
      <c r="L1027" t="s">
        <v>983</v>
      </c>
      <c r="P1027" s="7" t="s">
        <v>422</v>
      </c>
      <c r="Q1027" s="7" t="s">
        <v>422</v>
      </c>
    </row>
    <row r="1028" spans="1:17" x14ac:dyDescent="0.25">
      <c r="A1028" t="s">
        <v>423</v>
      </c>
      <c r="B1028">
        <v>9434312</v>
      </c>
      <c r="D1028">
        <v>60</v>
      </c>
      <c r="G1028">
        <v>98</v>
      </c>
      <c r="H1028">
        <v>80</v>
      </c>
      <c r="I1028" t="s">
        <v>62</v>
      </c>
      <c r="J1028">
        <v>40</v>
      </c>
      <c r="K1028">
        <v>222</v>
      </c>
      <c r="L1028" t="s">
        <v>983</v>
      </c>
      <c r="P1028" s="7" t="s">
        <v>422</v>
      </c>
      <c r="Q1028" s="7" t="s">
        <v>422</v>
      </c>
    </row>
    <row r="1029" spans="1:17" x14ac:dyDescent="0.25">
      <c r="A1029" t="s">
        <v>213</v>
      </c>
      <c r="B1029">
        <v>9460508</v>
      </c>
      <c r="D1029">
        <v>45</v>
      </c>
      <c r="G1029">
        <v>98</v>
      </c>
      <c r="H1029">
        <v>88</v>
      </c>
      <c r="I1029" t="s">
        <v>94</v>
      </c>
      <c r="J1029">
        <v>68</v>
      </c>
      <c r="K1029">
        <v>180</v>
      </c>
      <c r="L1029" t="s">
        <v>983</v>
      </c>
      <c r="M1029" t="s">
        <v>36</v>
      </c>
      <c r="P1029" s="7" t="s">
        <v>422</v>
      </c>
      <c r="Q1029" s="7" t="s">
        <v>422</v>
      </c>
    </row>
    <row r="1030" spans="1:17" x14ac:dyDescent="0.25">
      <c r="A1030" t="s">
        <v>425</v>
      </c>
      <c r="B1030">
        <v>9463741</v>
      </c>
      <c r="D1030">
        <v>60</v>
      </c>
      <c r="G1030">
        <v>98</v>
      </c>
      <c r="H1030">
        <v>90</v>
      </c>
      <c r="I1030" t="s">
        <v>120</v>
      </c>
      <c r="J1030">
        <v>89</v>
      </c>
      <c r="K1030">
        <v>293</v>
      </c>
      <c r="L1030" t="s">
        <v>982</v>
      </c>
      <c r="P1030" s="7" t="s">
        <v>221</v>
      </c>
      <c r="Q1030" s="7" t="s">
        <v>221</v>
      </c>
    </row>
    <row r="1031" spans="1:17" x14ac:dyDescent="0.25">
      <c r="A1031" t="s">
        <v>284</v>
      </c>
      <c r="B1031">
        <v>98754656</v>
      </c>
      <c r="D1031">
        <v>50</v>
      </c>
      <c r="G1031">
        <v>98</v>
      </c>
      <c r="H1031">
        <v>72</v>
      </c>
      <c r="I1031" t="s">
        <v>6</v>
      </c>
      <c r="J1031">
        <v>90</v>
      </c>
      <c r="K1031">
        <v>150</v>
      </c>
      <c r="L1031" t="s">
        <v>983</v>
      </c>
      <c r="P1031" s="7" t="s">
        <v>422</v>
      </c>
      <c r="Q1031" s="7" t="s">
        <v>422</v>
      </c>
    </row>
    <row r="1032" spans="1:17" x14ac:dyDescent="0.25">
      <c r="A1032" t="s">
        <v>285</v>
      </c>
      <c r="B1032">
        <v>92581461</v>
      </c>
      <c r="D1032">
        <v>65</v>
      </c>
      <c r="G1032">
        <v>98</v>
      </c>
      <c r="H1032">
        <v>71</v>
      </c>
      <c r="I1032" t="s">
        <v>49</v>
      </c>
      <c r="J1032">
        <v>91</v>
      </c>
      <c r="K1032">
        <v>302</v>
      </c>
      <c r="L1032" t="s">
        <v>982</v>
      </c>
      <c r="P1032" s="7" t="s">
        <v>422</v>
      </c>
      <c r="Q1032" s="7" t="s">
        <v>422</v>
      </c>
    </row>
    <row r="1033" spans="1:17" x14ac:dyDescent="0.25">
      <c r="A1033" t="s">
        <v>253</v>
      </c>
      <c r="B1033">
        <v>9672253</v>
      </c>
      <c r="D1033">
        <v>75</v>
      </c>
      <c r="G1033">
        <v>98</v>
      </c>
      <c r="H1033">
        <v>120</v>
      </c>
      <c r="I1033" t="s">
        <v>96</v>
      </c>
      <c r="J1033">
        <v>92</v>
      </c>
      <c r="K1033">
        <v>183</v>
      </c>
      <c r="L1033" t="s">
        <v>983</v>
      </c>
      <c r="P1033" s="7" t="s">
        <v>238</v>
      </c>
      <c r="Q1033" s="7" t="s">
        <v>238</v>
      </c>
    </row>
    <row r="1034" spans="1:17" x14ac:dyDescent="0.25">
      <c r="A1034" t="s">
        <v>251</v>
      </c>
      <c r="B1034">
        <v>9652233</v>
      </c>
      <c r="D1034">
        <v>70</v>
      </c>
      <c r="G1034">
        <v>98</v>
      </c>
      <c r="H1034">
        <v>90</v>
      </c>
      <c r="I1034" t="s">
        <v>77</v>
      </c>
      <c r="J1034">
        <v>40</v>
      </c>
      <c r="K1034">
        <v>330</v>
      </c>
      <c r="L1034" t="s">
        <v>982</v>
      </c>
      <c r="P1034" s="7" t="s">
        <v>238</v>
      </c>
      <c r="Q1034" s="7" t="s">
        <v>238</v>
      </c>
    </row>
    <row r="1035" spans="1:17" x14ac:dyDescent="0.25">
      <c r="A1035" t="s">
        <v>250</v>
      </c>
      <c r="B1035">
        <v>317513</v>
      </c>
      <c r="D1035">
        <v>65</v>
      </c>
      <c r="G1035">
        <v>98</v>
      </c>
      <c r="H1035">
        <v>78</v>
      </c>
      <c r="I1035" t="s">
        <v>194</v>
      </c>
      <c r="J1035">
        <v>89</v>
      </c>
      <c r="K1035">
        <v>639</v>
      </c>
      <c r="L1035" t="s">
        <v>982</v>
      </c>
      <c r="N1035" t="s">
        <v>974</v>
      </c>
      <c r="P1035" s="7" t="s">
        <v>238</v>
      </c>
      <c r="Q1035" s="7" t="s">
        <v>238</v>
      </c>
    </row>
    <row r="1036" spans="1:17" x14ac:dyDescent="0.25">
      <c r="A1036" t="s">
        <v>183</v>
      </c>
      <c r="B1036">
        <v>965585</v>
      </c>
      <c r="D1036">
        <v>25</v>
      </c>
      <c r="G1036">
        <v>98</v>
      </c>
      <c r="H1036">
        <v>70</v>
      </c>
      <c r="I1036" t="s">
        <v>0</v>
      </c>
      <c r="J1036">
        <v>90</v>
      </c>
      <c r="K1036">
        <v>234</v>
      </c>
      <c r="L1036" t="s">
        <v>983</v>
      </c>
      <c r="P1036" s="7">
        <v>44532</v>
      </c>
      <c r="Q1036" s="7">
        <v>44532</v>
      </c>
    </row>
    <row r="1037" spans="1:17" x14ac:dyDescent="0.25">
      <c r="A1037" t="s">
        <v>135</v>
      </c>
      <c r="B1037">
        <v>235962</v>
      </c>
      <c r="D1037">
        <v>60</v>
      </c>
      <c r="G1037">
        <v>98</v>
      </c>
      <c r="H1037">
        <v>132</v>
      </c>
      <c r="I1037" t="s">
        <v>136</v>
      </c>
      <c r="J1037">
        <v>99</v>
      </c>
      <c r="K1037">
        <v>168</v>
      </c>
      <c r="L1037" t="s">
        <v>983</v>
      </c>
      <c r="P1037" s="7" t="s">
        <v>128</v>
      </c>
      <c r="Q1037" s="7" t="s">
        <v>133</v>
      </c>
    </row>
    <row r="1038" spans="1:17" x14ac:dyDescent="0.25">
      <c r="A1038" t="s">
        <v>137</v>
      </c>
      <c r="B1038">
        <v>234566</v>
      </c>
      <c r="D1038">
        <v>50</v>
      </c>
      <c r="G1038">
        <v>98</v>
      </c>
      <c r="H1038">
        <v>88</v>
      </c>
      <c r="I1038" t="s">
        <v>94</v>
      </c>
      <c r="J1038">
        <v>40</v>
      </c>
      <c r="K1038">
        <v>88</v>
      </c>
      <c r="L1038" t="s">
        <v>973</v>
      </c>
      <c r="P1038" s="7" t="s">
        <v>133</v>
      </c>
      <c r="Q1038" s="7" t="s">
        <v>133</v>
      </c>
    </row>
    <row r="1039" spans="1:17" x14ac:dyDescent="0.25">
      <c r="A1039" t="s">
        <v>138</v>
      </c>
      <c r="B1039">
        <v>232645</v>
      </c>
      <c r="D1039">
        <v>50</v>
      </c>
      <c r="G1039">
        <v>98</v>
      </c>
      <c r="H1039">
        <v>78</v>
      </c>
      <c r="I1039" t="s">
        <v>18</v>
      </c>
      <c r="J1039">
        <v>78</v>
      </c>
      <c r="K1039">
        <v>130</v>
      </c>
      <c r="L1039" t="s">
        <v>983</v>
      </c>
      <c r="P1039" s="7" t="s">
        <v>131</v>
      </c>
      <c r="Q1039" s="7" t="s">
        <v>131</v>
      </c>
    </row>
    <row r="1040" spans="1:17" x14ac:dyDescent="0.25">
      <c r="A1040" t="s">
        <v>139</v>
      </c>
      <c r="B1040">
        <v>986563</v>
      </c>
      <c r="D1040">
        <v>50</v>
      </c>
      <c r="G1040">
        <v>98</v>
      </c>
      <c r="H1040">
        <v>124</v>
      </c>
      <c r="I1040" t="s">
        <v>96</v>
      </c>
      <c r="J1040">
        <v>68</v>
      </c>
      <c r="K1040">
        <v>197</v>
      </c>
      <c r="L1040" t="s">
        <v>983</v>
      </c>
      <c r="O1040" t="s">
        <v>967</v>
      </c>
      <c r="P1040" s="7" t="s">
        <v>131</v>
      </c>
      <c r="Q1040" s="7" t="s">
        <v>131</v>
      </c>
    </row>
    <row r="1041" spans="1:17" x14ac:dyDescent="0.25">
      <c r="A1041" t="s">
        <v>140</v>
      </c>
      <c r="B1041">
        <v>135454</v>
      </c>
      <c r="D1041">
        <v>50</v>
      </c>
      <c r="G1041">
        <v>98</v>
      </c>
      <c r="H1041">
        <v>80</v>
      </c>
      <c r="I1041" t="s">
        <v>74</v>
      </c>
      <c r="J1041">
        <v>89</v>
      </c>
      <c r="K1041">
        <v>161</v>
      </c>
      <c r="L1041" t="s">
        <v>983</v>
      </c>
      <c r="P1041" s="7" t="s">
        <v>142</v>
      </c>
      <c r="Q1041" s="7" t="s">
        <v>142</v>
      </c>
    </row>
    <row r="1042" spans="1:17" x14ac:dyDescent="0.25">
      <c r="A1042" t="s">
        <v>163</v>
      </c>
      <c r="B1042">
        <v>489421</v>
      </c>
      <c r="D1042">
        <v>80</v>
      </c>
      <c r="G1042">
        <v>100</v>
      </c>
      <c r="H1042">
        <v>100</v>
      </c>
      <c r="I1042" t="s">
        <v>154</v>
      </c>
      <c r="J1042">
        <v>90</v>
      </c>
      <c r="K1042">
        <v>551</v>
      </c>
      <c r="L1042" t="s">
        <v>982</v>
      </c>
      <c r="P1042" s="7">
        <v>44471</v>
      </c>
      <c r="Q1042" s="7">
        <v>44502</v>
      </c>
    </row>
    <row r="1043" spans="1:17" x14ac:dyDescent="0.25">
      <c r="A1043" t="s">
        <v>165</v>
      </c>
      <c r="B1043">
        <v>365656</v>
      </c>
      <c r="D1043">
        <v>65</v>
      </c>
      <c r="G1043">
        <v>98</v>
      </c>
      <c r="H1043">
        <v>78</v>
      </c>
      <c r="I1043" t="s">
        <v>6</v>
      </c>
      <c r="J1043">
        <v>90</v>
      </c>
      <c r="K1043">
        <v>166</v>
      </c>
      <c r="L1043" t="s">
        <v>983</v>
      </c>
      <c r="P1043" s="7">
        <v>44471</v>
      </c>
      <c r="Q1043" s="7">
        <v>44502</v>
      </c>
    </row>
    <row r="1044" spans="1:17" x14ac:dyDescent="0.25">
      <c r="A1044" t="s">
        <v>149</v>
      </c>
      <c r="B1044">
        <v>283553</v>
      </c>
      <c r="D1044">
        <v>22</v>
      </c>
      <c r="G1044">
        <v>98</v>
      </c>
      <c r="H1044">
        <v>80</v>
      </c>
      <c r="I1044" t="s">
        <v>49</v>
      </c>
      <c r="J1044">
        <v>40</v>
      </c>
      <c r="K1044">
        <v>128</v>
      </c>
      <c r="L1044" t="s">
        <v>983</v>
      </c>
      <c r="P1044" s="7" t="s">
        <v>142</v>
      </c>
      <c r="Q1044" s="7" t="s">
        <v>147</v>
      </c>
    </row>
    <row r="1045" spans="1:17" x14ac:dyDescent="0.25">
      <c r="A1045" t="s">
        <v>150</v>
      </c>
      <c r="B1045">
        <v>285128</v>
      </c>
      <c r="D1045">
        <v>78</v>
      </c>
      <c r="G1045">
        <v>98</v>
      </c>
      <c r="H1045">
        <v>96</v>
      </c>
      <c r="I1045" s="3" t="s">
        <v>96</v>
      </c>
      <c r="J1045">
        <v>78</v>
      </c>
      <c r="K1045">
        <v>214</v>
      </c>
      <c r="L1045" t="s">
        <v>983</v>
      </c>
      <c r="P1045" s="7" t="s">
        <v>142</v>
      </c>
      <c r="Q1045" s="7" t="s">
        <v>147</v>
      </c>
    </row>
    <row r="1046" spans="1:17" x14ac:dyDescent="0.25">
      <c r="A1046" t="s">
        <v>177</v>
      </c>
      <c r="B1046">
        <v>265897</v>
      </c>
      <c r="D1046">
        <v>62</v>
      </c>
      <c r="G1046">
        <v>98</v>
      </c>
      <c r="H1046">
        <v>140</v>
      </c>
      <c r="I1046" t="s">
        <v>178</v>
      </c>
      <c r="J1046">
        <v>89</v>
      </c>
      <c r="K1046">
        <v>143</v>
      </c>
      <c r="L1046" t="s">
        <v>983</v>
      </c>
      <c r="P1046" s="7">
        <v>44502</v>
      </c>
      <c r="Q1046" s="7" t="s">
        <v>176</v>
      </c>
    </row>
    <row r="1047" spans="1:17" x14ac:dyDescent="0.25">
      <c r="A1047" t="s">
        <v>140</v>
      </c>
      <c r="B1047">
        <v>3344659</v>
      </c>
      <c r="D1047">
        <v>19</v>
      </c>
      <c r="G1047">
        <v>98</v>
      </c>
      <c r="H1047">
        <v>80</v>
      </c>
      <c r="I1047" t="s">
        <v>77</v>
      </c>
      <c r="J1047">
        <v>90</v>
      </c>
      <c r="K1047">
        <v>168</v>
      </c>
      <c r="L1047" t="s">
        <v>983</v>
      </c>
      <c r="P1047" s="7" t="s">
        <v>767</v>
      </c>
      <c r="Q1047" s="7" t="s">
        <v>767</v>
      </c>
    </row>
    <row r="1048" spans="1:17" x14ac:dyDescent="0.25">
      <c r="A1048" t="s">
        <v>141</v>
      </c>
      <c r="B1048">
        <v>4459578</v>
      </c>
      <c r="D1048">
        <v>52</v>
      </c>
      <c r="G1048">
        <v>98</v>
      </c>
      <c r="H1048">
        <v>110</v>
      </c>
      <c r="I1048" t="s">
        <v>68</v>
      </c>
      <c r="J1048">
        <v>99</v>
      </c>
      <c r="K1048">
        <v>88</v>
      </c>
      <c r="L1048" t="s">
        <v>973</v>
      </c>
      <c r="P1048" s="7" t="s">
        <v>767</v>
      </c>
      <c r="Q1048" s="7" t="s">
        <v>767</v>
      </c>
    </row>
    <row r="1049" spans="1:17" x14ac:dyDescent="0.25">
      <c r="A1049" t="s">
        <v>143</v>
      </c>
      <c r="B1049">
        <v>6688655</v>
      </c>
      <c r="D1049">
        <v>90</v>
      </c>
      <c r="G1049">
        <v>98</v>
      </c>
      <c r="H1049">
        <v>69</v>
      </c>
      <c r="I1049" t="s">
        <v>96</v>
      </c>
      <c r="J1049">
        <v>91</v>
      </c>
      <c r="K1049">
        <v>130</v>
      </c>
      <c r="L1049" t="s">
        <v>983</v>
      </c>
      <c r="P1049" s="7" t="s">
        <v>767</v>
      </c>
      <c r="Q1049" s="7" t="s">
        <v>767</v>
      </c>
    </row>
    <row r="1050" spans="1:17" x14ac:dyDescent="0.25">
      <c r="A1050" t="s">
        <v>144</v>
      </c>
      <c r="B1050">
        <v>9865623</v>
      </c>
      <c r="D1050">
        <v>78</v>
      </c>
      <c r="G1050">
        <v>98</v>
      </c>
      <c r="H1050">
        <v>78</v>
      </c>
      <c r="I1050" t="s">
        <v>194</v>
      </c>
      <c r="J1050">
        <v>99</v>
      </c>
      <c r="K1050">
        <v>197</v>
      </c>
      <c r="L1050" t="s">
        <v>983</v>
      </c>
      <c r="N1050" t="s">
        <v>972</v>
      </c>
      <c r="P1050" s="7" t="s">
        <v>767</v>
      </c>
      <c r="Q1050" s="7" t="s">
        <v>767</v>
      </c>
    </row>
    <row r="1051" spans="1:17" x14ac:dyDescent="0.25">
      <c r="A1051" t="s">
        <v>146</v>
      </c>
      <c r="B1051">
        <v>4587875</v>
      </c>
      <c r="D1051">
        <v>55</v>
      </c>
      <c r="G1051">
        <v>98</v>
      </c>
      <c r="H1051">
        <v>34</v>
      </c>
      <c r="I1051" t="s">
        <v>301</v>
      </c>
      <c r="J1051">
        <v>90</v>
      </c>
      <c r="K1051">
        <v>161</v>
      </c>
      <c r="L1051" t="s">
        <v>983</v>
      </c>
      <c r="P1051" s="7" t="s">
        <v>767</v>
      </c>
      <c r="Q1051" s="7" t="s">
        <v>767</v>
      </c>
    </row>
    <row r="1052" spans="1:17" x14ac:dyDescent="0.25">
      <c r="A1052" t="s">
        <v>148</v>
      </c>
      <c r="B1052">
        <v>9665555</v>
      </c>
      <c r="D1052">
        <v>71</v>
      </c>
      <c r="G1052">
        <v>98</v>
      </c>
      <c r="H1052">
        <v>62</v>
      </c>
      <c r="I1052" t="s">
        <v>302</v>
      </c>
      <c r="J1052">
        <v>85</v>
      </c>
      <c r="K1052">
        <v>551</v>
      </c>
      <c r="L1052" t="s">
        <v>982</v>
      </c>
      <c r="N1052" t="s">
        <v>974</v>
      </c>
      <c r="P1052" s="7" t="s">
        <v>767</v>
      </c>
      <c r="Q1052" s="7" t="s">
        <v>767</v>
      </c>
    </row>
    <row r="1053" spans="1:17" x14ac:dyDescent="0.25">
      <c r="A1053" t="s">
        <v>150</v>
      </c>
      <c r="B1053">
        <v>7879875</v>
      </c>
      <c r="D1053">
        <v>30</v>
      </c>
      <c r="G1053">
        <v>98</v>
      </c>
      <c r="H1053">
        <v>96</v>
      </c>
      <c r="I1053" t="s">
        <v>833</v>
      </c>
      <c r="J1053">
        <v>95</v>
      </c>
      <c r="K1053">
        <v>166</v>
      </c>
      <c r="L1053" t="s">
        <v>983</v>
      </c>
      <c r="P1053" s="7" t="s">
        <v>767</v>
      </c>
      <c r="Q1053" s="7" t="s">
        <v>767</v>
      </c>
    </row>
    <row r="1054" spans="1:17" x14ac:dyDescent="0.25">
      <c r="A1054" t="s">
        <v>153</v>
      </c>
      <c r="B1054">
        <v>8558565</v>
      </c>
      <c r="D1054">
        <v>19</v>
      </c>
      <c r="G1054">
        <v>98</v>
      </c>
      <c r="H1054">
        <v>70</v>
      </c>
      <c r="I1054" t="s">
        <v>49</v>
      </c>
      <c r="J1054">
        <v>100</v>
      </c>
      <c r="K1054">
        <v>128</v>
      </c>
      <c r="L1054" t="s">
        <v>983</v>
      </c>
      <c r="P1054" s="7" t="s">
        <v>767</v>
      </c>
      <c r="Q1054" s="7" t="s">
        <v>768</v>
      </c>
    </row>
    <row r="1055" spans="1:17" x14ac:dyDescent="0.25">
      <c r="A1055" t="s">
        <v>48</v>
      </c>
      <c r="B1055">
        <v>7878545</v>
      </c>
      <c r="D1055">
        <v>52</v>
      </c>
      <c r="G1055">
        <v>98</v>
      </c>
      <c r="H1055">
        <v>80</v>
      </c>
      <c r="I1055" t="s">
        <v>6</v>
      </c>
      <c r="J1055">
        <v>99</v>
      </c>
      <c r="K1055">
        <v>214</v>
      </c>
      <c r="L1055" t="s">
        <v>983</v>
      </c>
      <c r="P1055" s="7" t="s">
        <v>767</v>
      </c>
      <c r="Q1055" s="7" t="s">
        <v>768</v>
      </c>
    </row>
    <row r="1056" spans="1:17" x14ac:dyDescent="0.25">
      <c r="A1056" t="s">
        <v>412</v>
      </c>
      <c r="B1056">
        <v>9357630</v>
      </c>
      <c r="D1056">
        <v>70</v>
      </c>
      <c r="G1056">
        <v>98</v>
      </c>
      <c r="H1056">
        <v>88</v>
      </c>
      <c r="I1056" t="s">
        <v>120</v>
      </c>
      <c r="J1056">
        <v>68</v>
      </c>
      <c r="K1056">
        <v>138</v>
      </c>
      <c r="L1056" t="s">
        <v>983</v>
      </c>
      <c r="O1056" t="s">
        <v>967</v>
      </c>
      <c r="P1056" s="7" t="s">
        <v>408</v>
      </c>
      <c r="Q1056" s="7" t="s">
        <v>408</v>
      </c>
    </row>
    <row r="1057" spans="1:17" x14ac:dyDescent="0.25">
      <c r="A1057" t="s">
        <v>413</v>
      </c>
      <c r="B1057">
        <v>9336189</v>
      </c>
      <c r="D1057">
        <v>25</v>
      </c>
      <c r="G1057">
        <v>98</v>
      </c>
      <c r="H1057">
        <v>142</v>
      </c>
      <c r="I1057" t="s">
        <v>414</v>
      </c>
      <c r="J1057">
        <v>89</v>
      </c>
      <c r="K1057">
        <v>172</v>
      </c>
      <c r="L1057" t="s">
        <v>983</v>
      </c>
      <c r="P1057" s="7" t="s">
        <v>408</v>
      </c>
      <c r="Q1057" s="7" t="s">
        <v>408</v>
      </c>
    </row>
    <row r="1058" spans="1:17" x14ac:dyDescent="0.25">
      <c r="A1058" t="s">
        <v>341</v>
      </c>
      <c r="B1058">
        <v>9357864</v>
      </c>
      <c r="D1058">
        <v>50</v>
      </c>
      <c r="G1058">
        <v>98</v>
      </c>
      <c r="H1058">
        <v>100</v>
      </c>
      <c r="I1058" t="s">
        <v>6</v>
      </c>
      <c r="J1058">
        <v>90</v>
      </c>
      <c r="K1058">
        <v>90</v>
      </c>
      <c r="L1058" t="s">
        <v>973</v>
      </c>
      <c r="N1058" t="s">
        <v>973</v>
      </c>
      <c r="P1058" s="7" t="s">
        <v>408</v>
      </c>
      <c r="Q1058" s="7" t="s">
        <v>408</v>
      </c>
    </row>
    <row r="1059" spans="1:17" x14ac:dyDescent="0.25">
      <c r="A1059" t="s">
        <v>415</v>
      </c>
      <c r="B1059">
        <v>9335884</v>
      </c>
      <c r="D1059">
        <v>70</v>
      </c>
      <c r="G1059">
        <v>98</v>
      </c>
      <c r="H1059">
        <v>88</v>
      </c>
      <c r="I1059" t="s">
        <v>43</v>
      </c>
      <c r="J1059">
        <v>74</v>
      </c>
      <c r="K1059">
        <v>92</v>
      </c>
      <c r="L1059" t="s">
        <v>973</v>
      </c>
      <c r="N1059" t="s">
        <v>973</v>
      </c>
      <c r="P1059" s="7" t="s">
        <v>408</v>
      </c>
      <c r="Q1059" s="7" t="s">
        <v>408</v>
      </c>
    </row>
    <row r="1060" spans="1:17" x14ac:dyDescent="0.25">
      <c r="A1060" t="s">
        <v>416</v>
      </c>
      <c r="B1060">
        <v>9358578</v>
      </c>
      <c r="D1060">
        <v>60</v>
      </c>
      <c r="G1060">
        <v>98</v>
      </c>
      <c r="H1060">
        <v>100</v>
      </c>
      <c r="I1060" t="s">
        <v>6</v>
      </c>
      <c r="J1060">
        <v>96</v>
      </c>
      <c r="K1060">
        <v>381</v>
      </c>
      <c r="L1060" t="s">
        <v>982</v>
      </c>
      <c r="P1060" s="7" t="s">
        <v>408</v>
      </c>
      <c r="Q1060" s="7" t="s">
        <v>246</v>
      </c>
    </row>
    <row r="1061" spans="1:17" x14ac:dyDescent="0.25">
      <c r="A1061" t="s">
        <v>417</v>
      </c>
      <c r="B1061">
        <v>93761051</v>
      </c>
      <c r="D1061">
        <v>32</v>
      </c>
      <c r="G1061">
        <v>98</v>
      </c>
      <c r="H1061">
        <v>68</v>
      </c>
      <c r="I1061" t="s">
        <v>154</v>
      </c>
      <c r="J1061">
        <v>65</v>
      </c>
      <c r="K1061">
        <v>101</v>
      </c>
      <c r="L1061" t="s">
        <v>973</v>
      </c>
      <c r="O1061" t="s">
        <v>968</v>
      </c>
      <c r="P1061" s="7" t="s">
        <v>246</v>
      </c>
      <c r="Q1061" s="7" t="s">
        <v>246</v>
      </c>
    </row>
    <row r="1062" spans="1:17" x14ac:dyDescent="0.25">
      <c r="A1062" t="s">
        <v>418</v>
      </c>
      <c r="B1062">
        <v>9334361</v>
      </c>
      <c r="D1062">
        <v>61</v>
      </c>
      <c r="G1062">
        <v>98</v>
      </c>
      <c r="H1062">
        <v>63</v>
      </c>
      <c r="I1062" t="s">
        <v>419</v>
      </c>
      <c r="J1062">
        <v>98</v>
      </c>
      <c r="K1062">
        <v>143</v>
      </c>
      <c r="L1062" t="s">
        <v>983</v>
      </c>
      <c r="P1062" s="7" t="s">
        <v>246</v>
      </c>
      <c r="Q1062" s="7" t="s">
        <v>246</v>
      </c>
    </row>
    <row r="1063" spans="1:17" x14ac:dyDescent="0.25">
      <c r="A1063" t="s">
        <v>421</v>
      </c>
      <c r="B1063">
        <v>94325181</v>
      </c>
      <c r="D1063">
        <v>55</v>
      </c>
      <c r="G1063">
        <v>98</v>
      </c>
      <c r="H1063">
        <v>60</v>
      </c>
      <c r="I1063" t="s">
        <v>154</v>
      </c>
      <c r="J1063">
        <v>82</v>
      </c>
      <c r="K1063">
        <v>123</v>
      </c>
      <c r="L1063" t="s">
        <v>983</v>
      </c>
      <c r="P1063" s="7" t="s">
        <v>422</v>
      </c>
      <c r="Q1063" s="7" t="s">
        <v>422</v>
      </c>
    </row>
    <row r="1064" spans="1:17" x14ac:dyDescent="0.25">
      <c r="A1064" t="s">
        <v>423</v>
      </c>
      <c r="B1064">
        <v>9434312</v>
      </c>
      <c r="D1064">
        <v>60</v>
      </c>
      <c r="G1064">
        <v>98</v>
      </c>
      <c r="H1064">
        <v>80</v>
      </c>
      <c r="I1064" t="s">
        <v>62</v>
      </c>
      <c r="J1064">
        <v>40</v>
      </c>
      <c r="K1064">
        <v>222</v>
      </c>
      <c r="L1064" t="s">
        <v>983</v>
      </c>
      <c r="P1064" s="7" t="s">
        <v>422</v>
      </c>
      <c r="Q1064" s="7" t="s">
        <v>422</v>
      </c>
    </row>
    <row r="1065" spans="1:17" x14ac:dyDescent="0.25">
      <c r="A1065" t="s">
        <v>213</v>
      </c>
      <c r="B1065">
        <v>9460508</v>
      </c>
      <c r="D1065">
        <v>45</v>
      </c>
      <c r="G1065">
        <v>98</v>
      </c>
      <c r="H1065">
        <v>88</v>
      </c>
      <c r="I1065" t="s">
        <v>94</v>
      </c>
      <c r="J1065">
        <v>68</v>
      </c>
      <c r="K1065">
        <v>180</v>
      </c>
      <c r="L1065" t="s">
        <v>983</v>
      </c>
      <c r="M1065" t="s">
        <v>36</v>
      </c>
      <c r="P1065" s="7" t="s">
        <v>422</v>
      </c>
      <c r="Q1065" s="7" t="s">
        <v>422</v>
      </c>
    </row>
    <row r="1066" spans="1:17" x14ac:dyDescent="0.25">
      <c r="A1066" t="s">
        <v>425</v>
      </c>
      <c r="B1066">
        <v>9463741</v>
      </c>
      <c r="D1066">
        <v>60</v>
      </c>
      <c r="G1066">
        <v>98</v>
      </c>
      <c r="H1066">
        <v>90</v>
      </c>
      <c r="I1066" t="s">
        <v>120</v>
      </c>
      <c r="J1066">
        <v>89</v>
      </c>
      <c r="K1066">
        <v>293</v>
      </c>
      <c r="L1066" t="s">
        <v>982</v>
      </c>
      <c r="P1066" s="7" t="s">
        <v>221</v>
      </c>
      <c r="Q1066" s="7" t="s">
        <v>221</v>
      </c>
    </row>
    <row r="1067" spans="1:17" x14ac:dyDescent="0.25">
      <c r="A1067" t="s">
        <v>284</v>
      </c>
      <c r="B1067">
        <v>98754656</v>
      </c>
      <c r="D1067">
        <v>50</v>
      </c>
      <c r="G1067">
        <v>98</v>
      </c>
      <c r="H1067">
        <v>72</v>
      </c>
      <c r="I1067" t="s">
        <v>6</v>
      </c>
      <c r="J1067">
        <v>90</v>
      </c>
      <c r="K1067">
        <v>150</v>
      </c>
      <c r="L1067" t="s">
        <v>983</v>
      </c>
      <c r="P1067" s="7" t="s">
        <v>422</v>
      </c>
      <c r="Q1067" s="7" t="s">
        <v>422</v>
      </c>
    </row>
    <row r="1068" spans="1:17" x14ac:dyDescent="0.25">
      <c r="A1068" t="s">
        <v>285</v>
      </c>
      <c r="B1068">
        <v>92581461</v>
      </c>
      <c r="D1068">
        <v>65</v>
      </c>
      <c r="G1068">
        <v>98</v>
      </c>
      <c r="H1068">
        <v>71</v>
      </c>
      <c r="I1068" t="s">
        <v>49</v>
      </c>
      <c r="J1068">
        <v>91</v>
      </c>
      <c r="K1068">
        <v>302</v>
      </c>
      <c r="L1068" t="s">
        <v>982</v>
      </c>
      <c r="P1068" s="7" t="s">
        <v>422</v>
      </c>
      <c r="Q1068" s="7" t="s">
        <v>422</v>
      </c>
    </row>
    <row r="1069" spans="1:17" x14ac:dyDescent="0.25">
      <c r="A1069" t="s">
        <v>253</v>
      </c>
      <c r="B1069">
        <v>9672253</v>
      </c>
      <c r="D1069">
        <v>75</v>
      </c>
      <c r="G1069">
        <v>98</v>
      </c>
      <c r="H1069">
        <v>120</v>
      </c>
      <c r="I1069" t="s">
        <v>96</v>
      </c>
      <c r="J1069">
        <v>92</v>
      </c>
      <c r="K1069">
        <v>183</v>
      </c>
      <c r="L1069" t="s">
        <v>983</v>
      </c>
      <c r="P1069" s="7" t="s">
        <v>238</v>
      </c>
      <c r="Q1069" s="7" t="s">
        <v>238</v>
      </c>
    </row>
    <row r="1070" spans="1:17" x14ac:dyDescent="0.25">
      <c r="A1070" t="s">
        <v>150</v>
      </c>
      <c r="B1070">
        <v>285218</v>
      </c>
      <c r="D1070">
        <v>78</v>
      </c>
      <c r="G1070">
        <v>98</v>
      </c>
      <c r="H1070">
        <v>112</v>
      </c>
      <c r="I1070" s="3" t="s">
        <v>96</v>
      </c>
      <c r="J1070">
        <v>91</v>
      </c>
      <c r="K1070">
        <v>214</v>
      </c>
      <c r="L1070" t="s">
        <v>983</v>
      </c>
      <c r="P1070" s="7" t="s">
        <v>142</v>
      </c>
      <c r="Q1070" s="7" t="s">
        <v>147</v>
      </c>
    </row>
    <row r="1071" spans="1:17" x14ac:dyDescent="0.25">
      <c r="A1071" t="s">
        <v>151</v>
      </c>
      <c r="B1071">
        <v>286638</v>
      </c>
      <c r="D1071">
        <v>50</v>
      </c>
      <c r="G1071">
        <v>98</v>
      </c>
      <c r="H1071">
        <v>78</v>
      </c>
      <c r="I1071" t="s">
        <v>6</v>
      </c>
      <c r="J1071">
        <v>90</v>
      </c>
      <c r="K1071">
        <v>357</v>
      </c>
      <c r="L1071" t="s">
        <v>982</v>
      </c>
      <c r="P1071" s="7" t="s">
        <v>147</v>
      </c>
      <c r="Q1071" s="7" t="s">
        <v>147</v>
      </c>
    </row>
    <row r="1072" spans="1:17" x14ac:dyDescent="0.25">
      <c r="A1072" t="s">
        <v>99</v>
      </c>
      <c r="B1072">
        <v>2560418</v>
      </c>
      <c r="D1072">
        <v>35</v>
      </c>
      <c r="G1072">
        <v>98</v>
      </c>
      <c r="H1072">
        <v>92</v>
      </c>
      <c r="I1072" t="s">
        <v>152</v>
      </c>
      <c r="J1072">
        <v>85</v>
      </c>
      <c r="K1072">
        <v>96</v>
      </c>
      <c r="L1072" t="s">
        <v>973</v>
      </c>
      <c r="P1072" s="7" t="s">
        <v>142</v>
      </c>
      <c r="Q1072" s="7" t="s">
        <v>147</v>
      </c>
    </row>
    <row r="1073" spans="1:17" x14ac:dyDescent="0.25">
      <c r="A1073" t="s">
        <v>156</v>
      </c>
      <c r="B1073">
        <v>286721</v>
      </c>
      <c r="D1073">
        <v>80</v>
      </c>
      <c r="G1073">
        <v>98</v>
      </c>
      <c r="H1073">
        <v>84</v>
      </c>
      <c r="I1073" t="s">
        <v>157</v>
      </c>
      <c r="J1073">
        <v>70</v>
      </c>
      <c r="K1073">
        <v>97</v>
      </c>
      <c r="L1073" t="s">
        <v>973</v>
      </c>
      <c r="P1073" s="7" t="s">
        <v>147</v>
      </c>
      <c r="Q1073" s="7" t="s">
        <v>147</v>
      </c>
    </row>
    <row r="1074" spans="1:17" x14ac:dyDescent="0.25">
      <c r="A1074" t="s">
        <v>158</v>
      </c>
      <c r="B1074">
        <v>287175</v>
      </c>
      <c r="D1074">
        <v>55</v>
      </c>
      <c r="G1074">
        <v>98</v>
      </c>
      <c r="H1074">
        <v>82</v>
      </c>
      <c r="I1074" t="s">
        <v>6</v>
      </c>
      <c r="J1074">
        <v>125</v>
      </c>
      <c r="K1074">
        <v>253</v>
      </c>
      <c r="L1074" t="s">
        <v>982</v>
      </c>
      <c r="P1074" s="7" t="s">
        <v>147</v>
      </c>
      <c r="Q1074" s="7" t="s">
        <v>147</v>
      </c>
    </row>
    <row r="1075" spans="1:17" x14ac:dyDescent="0.25">
      <c r="A1075" t="s">
        <v>137</v>
      </c>
      <c r="B1075">
        <v>28657</v>
      </c>
      <c r="D1075">
        <v>45</v>
      </c>
      <c r="G1075">
        <v>98</v>
      </c>
      <c r="H1075">
        <v>96</v>
      </c>
      <c r="I1075" t="s">
        <v>159</v>
      </c>
      <c r="J1075">
        <v>82</v>
      </c>
      <c r="K1075">
        <v>130</v>
      </c>
      <c r="L1075" t="s">
        <v>983</v>
      </c>
      <c r="P1075" s="7" t="s">
        <v>147</v>
      </c>
      <c r="Q1075" s="7" t="s">
        <v>147</v>
      </c>
    </row>
    <row r="1076" spans="1:17" x14ac:dyDescent="0.25">
      <c r="A1076" t="s">
        <v>122</v>
      </c>
      <c r="B1076">
        <v>256907</v>
      </c>
      <c r="D1076">
        <v>60</v>
      </c>
      <c r="G1076">
        <v>98</v>
      </c>
      <c r="H1076">
        <v>86</v>
      </c>
      <c r="I1076" t="s">
        <v>79</v>
      </c>
      <c r="J1076">
        <v>98</v>
      </c>
      <c r="K1076">
        <v>180</v>
      </c>
      <c r="L1076" t="s">
        <v>983</v>
      </c>
      <c r="P1076" s="7">
        <v>44471</v>
      </c>
      <c r="Q1076" s="7">
        <v>44471</v>
      </c>
    </row>
    <row r="1077" spans="1:17" x14ac:dyDescent="0.25">
      <c r="A1077" t="s">
        <v>163</v>
      </c>
      <c r="B1077">
        <v>25733</v>
      </c>
      <c r="D1077">
        <v>80</v>
      </c>
      <c r="G1077">
        <v>100</v>
      </c>
      <c r="H1077">
        <v>100</v>
      </c>
      <c r="I1077" t="s">
        <v>154</v>
      </c>
      <c r="J1077">
        <v>99</v>
      </c>
      <c r="K1077">
        <v>551</v>
      </c>
      <c r="L1077" t="s">
        <v>982</v>
      </c>
      <c r="P1077" s="7">
        <v>44471</v>
      </c>
      <c r="Q1077" s="7">
        <v>44502</v>
      </c>
    </row>
    <row r="1078" spans="1:17" x14ac:dyDescent="0.25">
      <c r="A1078" t="s">
        <v>165</v>
      </c>
      <c r="B1078">
        <v>157252</v>
      </c>
      <c r="D1078">
        <v>65</v>
      </c>
      <c r="G1078">
        <v>98</v>
      </c>
      <c r="H1078">
        <v>78</v>
      </c>
      <c r="I1078" t="s">
        <v>6</v>
      </c>
      <c r="J1078">
        <v>90</v>
      </c>
      <c r="K1078">
        <v>166</v>
      </c>
      <c r="L1078" t="s">
        <v>983</v>
      </c>
      <c r="P1078" s="7">
        <v>44471</v>
      </c>
      <c r="Q1078" s="7">
        <v>44502</v>
      </c>
    </row>
    <row r="1079" spans="1:17" x14ac:dyDescent="0.25">
      <c r="A1079" t="s">
        <v>168</v>
      </c>
      <c r="B1079">
        <v>258860</v>
      </c>
      <c r="D1079">
        <v>45</v>
      </c>
      <c r="G1079">
        <v>98</v>
      </c>
      <c r="H1079">
        <v>79</v>
      </c>
      <c r="I1079" t="s">
        <v>96</v>
      </c>
      <c r="J1079">
        <v>91</v>
      </c>
      <c r="K1079">
        <v>433</v>
      </c>
      <c r="L1079" t="s">
        <v>982</v>
      </c>
      <c r="O1079" t="s">
        <v>967</v>
      </c>
      <c r="P1079" s="7">
        <v>44502</v>
      </c>
      <c r="Q1079" s="7">
        <v>44502</v>
      </c>
    </row>
    <row r="1080" spans="1:17" x14ac:dyDescent="0.25">
      <c r="A1080" t="s">
        <v>170</v>
      </c>
      <c r="B1080">
        <v>259548</v>
      </c>
      <c r="D1080">
        <v>61</v>
      </c>
      <c r="G1080">
        <v>98</v>
      </c>
      <c r="H1080">
        <v>92</v>
      </c>
      <c r="I1080" t="s">
        <v>43</v>
      </c>
      <c r="J1080">
        <v>90</v>
      </c>
      <c r="K1080">
        <v>180</v>
      </c>
      <c r="L1080" t="s">
        <v>983</v>
      </c>
      <c r="O1080" t="s">
        <v>967</v>
      </c>
      <c r="P1080" s="7">
        <v>44532</v>
      </c>
      <c r="Q1080" s="7">
        <v>44532</v>
      </c>
    </row>
    <row r="1081" spans="1:17" x14ac:dyDescent="0.25">
      <c r="A1081" t="s">
        <v>171</v>
      </c>
      <c r="B1081">
        <v>267737</v>
      </c>
      <c r="D1081">
        <v>37</v>
      </c>
      <c r="G1081">
        <v>98</v>
      </c>
      <c r="H1081">
        <v>128</v>
      </c>
      <c r="I1081" t="s">
        <v>172</v>
      </c>
      <c r="J1081">
        <v>85</v>
      </c>
      <c r="K1081">
        <v>119</v>
      </c>
      <c r="L1081" t="s">
        <v>973</v>
      </c>
      <c r="P1081" s="7" t="s">
        <v>173</v>
      </c>
      <c r="Q1081" s="7" t="s">
        <v>173</v>
      </c>
    </row>
    <row r="1082" spans="1:17" x14ac:dyDescent="0.25">
      <c r="A1082" t="s">
        <v>177</v>
      </c>
      <c r="B1082">
        <v>257725</v>
      </c>
      <c r="D1082">
        <v>62</v>
      </c>
      <c r="G1082">
        <v>98</v>
      </c>
      <c r="H1082">
        <v>140</v>
      </c>
      <c r="I1082" t="s">
        <v>178</v>
      </c>
      <c r="J1082">
        <v>95</v>
      </c>
      <c r="K1082">
        <v>143</v>
      </c>
      <c r="L1082" t="s">
        <v>983</v>
      </c>
      <c r="O1082" t="s">
        <v>968</v>
      </c>
      <c r="P1082" s="7">
        <v>44502</v>
      </c>
      <c r="Q1082" s="7" t="s">
        <v>176</v>
      </c>
    </row>
    <row r="1083" spans="1:17" x14ac:dyDescent="0.25">
      <c r="A1083" t="s">
        <v>179</v>
      </c>
      <c r="C1083" t="s">
        <v>180</v>
      </c>
      <c r="D1083">
        <v>47</v>
      </c>
      <c r="G1083">
        <v>99</v>
      </c>
      <c r="H1083">
        <v>88</v>
      </c>
      <c r="I1083" t="s">
        <v>31</v>
      </c>
      <c r="J1083">
        <v>98</v>
      </c>
      <c r="K1083">
        <v>80</v>
      </c>
      <c r="L1083" t="s">
        <v>973</v>
      </c>
      <c r="P1083" s="7">
        <v>44288</v>
      </c>
      <c r="Q1083" s="7">
        <v>44288</v>
      </c>
    </row>
    <row r="1084" spans="1:17" x14ac:dyDescent="0.25">
      <c r="A1084" t="s">
        <v>181</v>
      </c>
      <c r="B1084">
        <v>973746</v>
      </c>
      <c r="D1084">
        <v>16</v>
      </c>
      <c r="G1084">
        <v>98</v>
      </c>
      <c r="H1084">
        <v>150</v>
      </c>
      <c r="I1084" t="s">
        <v>182</v>
      </c>
      <c r="J1084">
        <v>100</v>
      </c>
      <c r="K1084">
        <v>132</v>
      </c>
      <c r="L1084" t="s">
        <v>983</v>
      </c>
      <c r="O1084" t="s">
        <v>967</v>
      </c>
      <c r="P1084" s="7">
        <v>44532</v>
      </c>
      <c r="Q1084" s="7" t="s">
        <v>176</v>
      </c>
    </row>
    <row r="1085" spans="1:17" x14ac:dyDescent="0.25">
      <c r="A1085" t="s">
        <v>183</v>
      </c>
      <c r="B1085">
        <v>261066</v>
      </c>
      <c r="D1085">
        <v>25</v>
      </c>
      <c r="G1085">
        <v>98</v>
      </c>
      <c r="H1085">
        <v>70</v>
      </c>
      <c r="I1085" t="s">
        <v>0</v>
      </c>
      <c r="J1085">
        <v>78</v>
      </c>
      <c r="K1085">
        <v>234</v>
      </c>
      <c r="L1085" t="s">
        <v>983</v>
      </c>
      <c r="P1085" s="7">
        <v>44532</v>
      </c>
      <c r="Q1085" s="7">
        <v>44532</v>
      </c>
    </row>
    <row r="1086" spans="1:17" x14ac:dyDescent="0.25">
      <c r="A1086" t="s">
        <v>188</v>
      </c>
      <c r="B1086">
        <v>265184</v>
      </c>
      <c r="D1086">
        <v>50</v>
      </c>
      <c r="G1086">
        <v>98</v>
      </c>
      <c r="H1086">
        <v>86</v>
      </c>
      <c r="I1086" t="s">
        <v>189</v>
      </c>
      <c r="J1086">
        <v>96</v>
      </c>
      <c r="K1086">
        <v>104</v>
      </c>
      <c r="L1086" t="s">
        <v>973</v>
      </c>
      <c r="O1086" t="s">
        <v>977</v>
      </c>
      <c r="P1086" s="7" t="s">
        <v>176</v>
      </c>
      <c r="Q1086" s="7" t="s">
        <v>176</v>
      </c>
    </row>
    <row r="1087" spans="1:17" x14ac:dyDescent="0.25">
      <c r="A1087" t="s">
        <v>191</v>
      </c>
      <c r="B1087">
        <v>259847</v>
      </c>
      <c r="D1087">
        <v>70</v>
      </c>
      <c r="G1087">
        <v>98</v>
      </c>
      <c r="H1087">
        <v>111</v>
      </c>
      <c r="I1087" t="s">
        <v>192</v>
      </c>
      <c r="J1087">
        <v>98</v>
      </c>
      <c r="K1087">
        <v>129</v>
      </c>
      <c r="L1087" t="s">
        <v>983</v>
      </c>
      <c r="P1087" s="7">
        <v>44502</v>
      </c>
      <c r="Q1087" s="7" t="s">
        <v>176</v>
      </c>
    </row>
    <row r="1088" spans="1:17" x14ac:dyDescent="0.25">
      <c r="A1088" t="s">
        <v>193</v>
      </c>
      <c r="B1088">
        <v>261422</v>
      </c>
      <c r="D1088">
        <v>22</v>
      </c>
      <c r="G1088">
        <v>99</v>
      </c>
      <c r="H1088">
        <v>100</v>
      </c>
      <c r="I1088" t="s">
        <v>194</v>
      </c>
      <c r="J1088">
        <v>86</v>
      </c>
      <c r="K1088">
        <v>163</v>
      </c>
      <c r="L1088" t="s">
        <v>983</v>
      </c>
      <c r="P1088" s="7" t="s">
        <v>176</v>
      </c>
      <c r="Q1088" s="7" t="s">
        <v>176</v>
      </c>
    </row>
    <row r="1089" spans="1:17" x14ac:dyDescent="0.25">
      <c r="A1089" t="s">
        <v>886</v>
      </c>
      <c r="B1089">
        <v>1023887</v>
      </c>
      <c r="D1089">
        <v>77</v>
      </c>
      <c r="G1089">
        <v>98</v>
      </c>
      <c r="H1089">
        <v>92</v>
      </c>
      <c r="I1089" t="s">
        <v>887</v>
      </c>
      <c r="J1089">
        <v>86</v>
      </c>
      <c r="K1089">
        <v>351</v>
      </c>
      <c r="L1089" t="s">
        <v>982</v>
      </c>
      <c r="P1089" s="7" t="s">
        <v>774</v>
      </c>
      <c r="Q1089" s="7" t="s">
        <v>774</v>
      </c>
    </row>
    <row r="1090" spans="1:17" x14ac:dyDescent="0.25">
      <c r="A1090" t="s">
        <v>892</v>
      </c>
      <c r="B1090">
        <v>1024398</v>
      </c>
      <c r="D1090">
        <v>60</v>
      </c>
      <c r="G1090">
        <v>98</v>
      </c>
      <c r="H1090">
        <v>129</v>
      </c>
      <c r="I1090" t="s">
        <v>893</v>
      </c>
      <c r="J1090">
        <v>56</v>
      </c>
      <c r="K1090">
        <v>350</v>
      </c>
      <c r="L1090" t="s">
        <v>982</v>
      </c>
      <c r="N1090" t="s">
        <v>975</v>
      </c>
      <c r="O1090" t="s">
        <v>967</v>
      </c>
      <c r="P1090" s="7" t="s">
        <v>774</v>
      </c>
      <c r="Q1090" s="7" t="s">
        <v>774</v>
      </c>
    </row>
    <row r="1091" spans="1:17" x14ac:dyDescent="0.25">
      <c r="A1091" t="s">
        <v>894</v>
      </c>
      <c r="B1091">
        <v>1025713</v>
      </c>
      <c r="D1091">
        <v>71</v>
      </c>
      <c r="G1091">
        <v>98</v>
      </c>
      <c r="H1091">
        <v>70</v>
      </c>
      <c r="I1091" t="s">
        <v>154</v>
      </c>
      <c r="J1091">
        <v>98</v>
      </c>
      <c r="K1091">
        <v>121</v>
      </c>
      <c r="L1091" t="s">
        <v>983</v>
      </c>
      <c r="P1091" s="7" t="s">
        <v>774</v>
      </c>
      <c r="Q1091" s="7" t="s">
        <v>770</v>
      </c>
    </row>
    <row r="1092" spans="1:17" x14ac:dyDescent="0.25">
      <c r="A1092" t="s">
        <v>895</v>
      </c>
      <c r="B1092">
        <v>1025986</v>
      </c>
      <c r="D1092">
        <v>65</v>
      </c>
      <c r="G1092">
        <v>98</v>
      </c>
      <c r="H1092">
        <v>133</v>
      </c>
      <c r="I1092" t="s">
        <v>896</v>
      </c>
      <c r="J1092">
        <v>98</v>
      </c>
      <c r="K1092">
        <v>116</v>
      </c>
      <c r="L1092" t="s">
        <v>973</v>
      </c>
      <c r="P1092" s="7" t="s">
        <v>774</v>
      </c>
      <c r="Q1092" s="7" t="s">
        <v>770</v>
      </c>
    </row>
    <row r="1093" spans="1:17" x14ac:dyDescent="0.25">
      <c r="A1093" t="s">
        <v>898</v>
      </c>
      <c r="B1093">
        <v>1026020</v>
      </c>
      <c r="D1093">
        <v>44</v>
      </c>
      <c r="G1093">
        <v>98</v>
      </c>
      <c r="H1093">
        <v>78</v>
      </c>
      <c r="I1093" t="s">
        <v>899</v>
      </c>
      <c r="J1093">
        <v>80</v>
      </c>
      <c r="K1093">
        <v>139</v>
      </c>
      <c r="L1093" t="s">
        <v>983</v>
      </c>
      <c r="P1093" s="7" t="s">
        <v>774</v>
      </c>
      <c r="Q1093" s="7" t="s">
        <v>770</v>
      </c>
    </row>
    <row r="1094" spans="1:17" x14ac:dyDescent="0.25">
      <c r="A1094" t="s">
        <v>900</v>
      </c>
      <c r="B1094">
        <v>1019563</v>
      </c>
      <c r="D1094">
        <v>50</v>
      </c>
      <c r="G1094">
        <v>98</v>
      </c>
      <c r="H1094">
        <v>116</v>
      </c>
      <c r="I1094" t="s">
        <v>901</v>
      </c>
      <c r="J1094">
        <v>96</v>
      </c>
      <c r="K1094">
        <v>115</v>
      </c>
      <c r="L1094" t="s">
        <v>973</v>
      </c>
      <c r="P1094" s="7" t="s">
        <v>874</v>
      </c>
      <c r="Q1094" s="7" t="s">
        <v>770</v>
      </c>
    </row>
    <row r="1095" spans="1:17" x14ac:dyDescent="0.25">
      <c r="A1095" t="s">
        <v>220</v>
      </c>
      <c r="B1095">
        <v>1028681</v>
      </c>
      <c r="D1095">
        <v>38</v>
      </c>
      <c r="G1095">
        <v>98</v>
      </c>
      <c r="H1095">
        <v>45</v>
      </c>
      <c r="I1095" t="s">
        <v>883</v>
      </c>
      <c r="J1095">
        <v>99</v>
      </c>
      <c r="K1095">
        <v>400</v>
      </c>
      <c r="L1095" t="s">
        <v>982</v>
      </c>
      <c r="P1095" s="7" t="s">
        <v>770</v>
      </c>
      <c r="Q1095" s="7" t="s">
        <v>770</v>
      </c>
    </row>
    <row r="1096" spans="1:17" x14ac:dyDescent="0.25">
      <c r="A1096" t="s">
        <v>336</v>
      </c>
      <c r="B1096">
        <v>975523</v>
      </c>
      <c r="D1096">
        <v>80</v>
      </c>
      <c r="G1096">
        <v>98</v>
      </c>
      <c r="H1096">
        <v>134</v>
      </c>
      <c r="I1096" t="s">
        <v>906</v>
      </c>
      <c r="J1096">
        <v>89</v>
      </c>
      <c r="K1096">
        <v>555</v>
      </c>
      <c r="L1096" t="s">
        <v>982</v>
      </c>
      <c r="N1096" t="s">
        <v>973</v>
      </c>
      <c r="O1096" t="s">
        <v>967</v>
      </c>
      <c r="P1096" s="7">
        <v>44562</v>
      </c>
      <c r="Q1096" s="7">
        <v>44562</v>
      </c>
    </row>
    <row r="1097" spans="1:17" x14ac:dyDescent="0.25">
      <c r="A1097" t="s">
        <v>696</v>
      </c>
      <c r="B1097">
        <v>976726</v>
      </c>
      <c r="D1097">
        <v>45</v>
      </c>
      <c r="G1097">
        <v>98</v>
      </c>
      <c r="H1097">
        <v>96</v>
      </c>
      <c r="I1097" s="3" t="s">
        <v>910</v>
      </c>
      <c r="J1097">
        <v>92</v>
      </c>
      <c r="K1097">
        <v>600</v>
      </c>
      <c r="L1097" t="s">
        <v>982</v>
      </c>
      <c r="O1097" t="s">
        <v>967</v>
      </c>
      <c r="P1097" s="7">
        <v>44593</v>
      </c>
      <c r="Q1097" s="7">
        <v>44593</v>
      </c>
    </row>
    <row r="1098" spans="1:17" x14ac:dyDescent="0.25">
      <c r="A1098" t="s">
        <v>916</v>
      </c>
      <c r="B1098">
        <v>996070</v>
      </c>
      <c r="D1098">
        <v>52</v>
      </c>
      <c r="G1098">
        <v>98</v>
      </c>
      <c r="H1098">
        <v>65</v>
      </c>
      <c r="I1098" t="s">
        <v>906</v>
      </c>
      <c r="J1098">
        <v>87</v>
      </c>
      <c r="K1098">
        <v>238</v>
      </c>
      <c r="L1098" t="s">
        <v>983</v>
      </c>
      <c r="N1098" t="s">
        <v>972</v>
      </c>
      <c r="P1098" s="7">
        <v>44774</v>
      </c>
      <c r="Q1098" s="7">
        <v>44774</v>
      </c>
    </row>
    <row r="1099" spans="1:17" x14ac:dyDescent="0.25">
      <c r="A1099" t="s">
        <v>600</v>
      </c>
      <c r="B1099">
        <v>979561</v>
      </c>
      <c r="D1099">
        <v>78</v>
      </c>
      <c r="G1099">
        <v>98</v>
      </c>
      <c r="H1099">
        <v>119</v>
      </c>
      <c r="I1099" t="s">
        <v>49</v>
      </c>
      <c r="J1099">
        <v>89</v>
      </c>
      <c r="K1099">
        <v>555</v>
      </c>
      <c r="L1099" t="s">
        <v>982</v>
      </c>
      <c r="N1099" t="s">
        <v>974</v>
      </c>
      <c r="P1099" s="7">
        <v>44593</v>
      </c>
      <c r="Q1099" s="7">
        <v>44621</v>
      </c>
    </row>
    <row r="1100" spans="1:17" x14ac:dyDescent="0.25">
      <c r="A1100" t="s">
        <v>918</v>
      </c>
      <c r="B1100">
        <v>980003</v>
      </c>
      <c r="D1100">
        <v>55</v>
      </c>
      <c r="G1100">
        <v>98</v>
      </c>
      <c r="H1100">
        <v>88</v>
      </c>
      <c r="I1100" t="s">
        <v>154</v>
      </c>
      <c r="J1100">
        <v>99</v>
      </c>
      <c r="K1100">
        <v>126</v>
      </c>
      <c r="L1100" t="s">
        <v>983</v>
      </c>
      <c r="P1100" s="7">
        <v>44621</v>
      </c>
      <c r="Q1100" s="7">
        <v>44621</v>
      </c>
    </row>
    <row r="1101" spans="1:17" x14ac:dyDescent="0.25">
      <c r="A1101" t="s">
        <v>919</v>
      </c>
      <c r="B1101">
        <v>980092</v>
      </c>
      <c r="D1101">
        <v>80</v>
      </c>
      <c r="G1101">
        <v>98</v>
      </c>
      <c r="H1101">
        <v>57</v>
      </c>
      <c r="I1101" t="s">
        <v>6</v>
      </c>
      <c r="J1101">
        <v>78</v>
      </c>
      <c r="K1101">
        <v>427</v>
      </c>
      <c r="L1101" t="s">
        <v>982</v>
      </c>
      <c r="M1101" t="s">
        <v>970</v>
      </c>
      <c r="N1101" t="s">
        <v>974</v>
      </c>
      <c r="P1101" s="7">
        <v>44593</v>
      </c>
      <c r="Q1101" s="7">
        <v>44621</v>
      </c>
    </row>
  </sheetData>
  <autoFilter ref="K1:K1000">
    <filterColumn colId="0">
      <customFilters>
        <customFilter operator="greaterThan" val="79"/>
        <customFilter operator="lessThan" val="0"/>
      </custom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2023-02-03T08:51:24Z</dcterms:modified>
</cp:coreProperties>
</file>